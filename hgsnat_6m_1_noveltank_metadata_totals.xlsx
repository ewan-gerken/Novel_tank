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an Gerken\Desktop\R projects\Novel_tank\"/>
    </mc:Choice>
  </mc:AlternateContent>
  <xr:revisionPtr revIDLastSave="0" documentId="13_ncr:1_{EE32F305-BB65-458B-AFA8-34D347429C6F}" xr6:coauthVersionLast="47" xr6:coauthVersionMax="47" xr10:uidLastSave="{00000000-0000-0000-0000-000000000000}"/>
  <bookViews>
    <workbookView xWindow="28635" yWindow="-165" windowWidth="29130" windowHeight="15930" xr2:uid="{1CBBD9C5-4757-634B-8217-DBDCED02CCD6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80" i="1" l="1"/>
  <c r="Z80" i="1" s="1"/>
  <c r="Y38" i="1"/>
  <c r="Z38" i="1" s="1"/>
  <c r="Y20" i="1"/>
  <c r="Z20" i="1" s="1"/>
  <c r="Y31" i="1"/>
  <c r="Z31" i="1" s="1"/>
  <c r="Y2" i="1"/>
  <c r="Z2" i="1" s="1"/>
  <c r="Y27" i="1"/>
  <c r="Z27" i="1" s="1"/>
  <c r="Y35" i="1"/>
  <c r="Z35" i="1" s="1"/>
  <c r="Y52" i="1"/>
  <c r="Z52" i="1" s="1"/>
  <c r="Y33" i="1"/>
  <c r="Z33" i="1" s="1"/>
  <c r="Y41" i="1"/>
  <c r="Z41" i="1" s="1"/>
  <c r="Y84" i="1"/>
  <c r="Z84" i="1" s="1"/>
  <c r="Y17" i="1"/>
  <c r="Z17" i="1" s="1"/>
  <c r="Y51" i="1"/>
  <c r="Z51" i="1" s="1"/>
  <c r="Y32" i="1"/>
  <c r="Z32" i="1" s="1"/>
  <c r="Y47" i="1"/>
  <c r="Z47" i="1" s="1"/>
  <c r="Y39" i="1"/>
  <c r="Z39" i="1" s="1"/>
  <c r="Y21" i="1"/>
  <c r="Z21" i="1" s="1"/>
  <c r="Y73" i="1"/>
  <c r="Z73" i="1" s="1"/>
  <c r="Y56" i="1"/>
  <c r="Z56" i="1" s="1"/>
  <c r="Y78" i="1"/>
  <c r="Z78" i="1" s="1"/>
  <c r="Y16" i="1"/>
  <c r="Z16" i="1" s="1"/>
  <c r="Y28" i="1"/>
  <c r="Z28" i="1" s="1"/>
  <c r="Y34" i="1"/>
  <c r="Z34" i="1" s="1"/>
  <c r="Y3" i="1"/>
  <c r="Z3" i="1" s="1"/>
  <c r="Y81" i="1"/>
  <c r="Z81" i="1" s="1"/>
  <c r="Y4" i="1"/>
  <c r="Z4" i="1" s="1"/>
  <c r="Y86" i="1"/>
  <c r="Z86" i="1" s="1"/>
  <c r="Y18" i="1"/>
  <c r="Z18" i="1" s="1"/>
  <c r="Y23" i="1"/>
  <c r="Z23" i="1" s="1"/>
  <c r="Y60" i="1"/>
  <c r="Z60" i="1" s="1"/>
  <c r="Y70" i="1"/>
  <c r="Z70" i="1" s="1"/>
  <c r="Y29" i="1"/>
  <c r="Z29" i="1" s="1"/>
  <c r="Y53" i="1"/>
  <c r="Z53" i="1" s="1"/>
  <c r="Y5" i="1"/>
  <c r="Z5" i="1" s="1"/>
  <c r="Y93" i="1"/>
  <c r="Y94" i="1"/>
  <c r="Y40" i="1"/>
  <c r="Z40" i="1" s="1"/>
  <c r="Y74" i="1"/>
  <c r="Z74" i="1" s="1"/>
  <c r="Y58" i="1"/>
  <c r="Z58" i="1" s="1"/>
  <c r="Y24" i="1"/>
  <c r="Z24" i="1" s="1"/>
  <c r="Y63" i="1"/>
  <c r="Z63" i="1" s="1"/>
  <c r="Y19" i="1"/>
  <c r="Z19" i="1" s="1"/>
  <c r="Y55" i="1"/>
  <c r="Z55" i="1" s="1"/>
  <c r="Y79" i="1"/>
  <c r="Z79" i="1" s="1"/>
  <c r="Y6" i="1"/>
  <c r="Z6" i="1" s="1"/>
  <c r="Y76" i="1"/>
  <c r="Z76" i="1" s="1"/>
  <c r="Y82" i="1"/>
  <c r="Z82" i="1" s="1"/>
  <c r="Y90" i="1"/>
  <c r="Z90" i="1" s="1"/>
  <c r="Y68" i="1"/>
  <c r="Z68" i="1" s="1"/>
  <c r="Y10" i="1"/>
  <c r="Z10" i="1" s="1"/>
  <c r="Y25" i="1"/>
  <c r="Z25" i="1" s="1"/>
  <c r="Y48" i="1"/>
  <c r="Z48" i="1" s="1"/>
  <c r="Y7" i="1"/>
  <c r="Z7" i="1" s="1"/>
  <c r="Y43" i="1"/>
  <c r="Z43" i="1" s="1"/>
  <c r="Y92" i="1"/>
  <c r="Z92" i="1" s="1"/>
  <c r="Y44" i="1"/>
  <c r="Z44" i="1" s="1"/>
  <c r="Y67" i="1"/>
  <c r="Z67" i="1" s="1"/>
  <c r="Y61" i="1"/>
  <c r="Z61" i="1" s="1"/>
  <c r="Y45" i="1"/>
  <c r="Z45" i="1" s="1"/>
  <c r="Y12" i="1"/>
  <c r="Z12" i="1" s="1"/>
  <c r="Y30" i="1"/>
  <c r="Z30" i="1" s="1"/>
  <c r="Y75" i="1"/>
  <c r="Z75" i="1" s="1"/>
  <c r="Y69" i="1"/>
  <c r="Z69" i="1" s="1"/>
  <c r="Y65" i="1"/>
  <c r="Z65" i="1" s="1"/>
  <c r="Y91" i="1"/>
  <c r="Z91" i="1" s="1"/>
  <c r="Y85" i="1"/>
  <c r="Z85" i="1" s="1"/>
  <c r="Y83" i="1"/>
  <c r="Z83" i="1" s="1"/>
  <c r="Y59" i="1"/>
  <c r="Z59" i="1" s="1"/>
  <c r="Y62" i="1"/>
  <c r="Z62" i="1" s="1"/>
  <c r="Y36" i="1"/>
  <c r="Z36" i="1" s="1"/>
  <c r="Y57" i="1"/>
  <c r="Z57" i="1" s="1"/>
  <c r="Y49" i="1"/>
  <c r="Z49" i="1" s="1"/>
  <c r="Y54" i="1"/>
  <c r="Z54" i="1" s="1"/>
  <c r="Y26" i="1"/>
  <c r="Z26" i="1" s="1"/>
  <c r="Y89" i="1"/>
  <c r="Z89" i="1" s="1"/>
  <c r="Y22" i="1"/>
  <c r="Z22" i="1" s="1"/>
  <c r="Y50" i="1"/>
  <c r="Z50" i="1" s="1"/>
  <c r="Y37" i="1"/>
  <c r="Z37" i="1" s="1"/>
  <c r="Y11" i="1"/>
  <c r="Z11" i="1" s="1"/>
  <c r="Y66" i="1"/>
  <c r="Z66" i="1" s="1"/>
  <c r="Y72" i="1"/>
  <c r="Z72" i="1" s="1"/>
  <c r="Y13" i="1"/>
  <c r="Z13" i="1" s="1"/>
  <c r="Y88" i="1"/>
  <c r="Z88" i="1" s="1"/>
  <c r="Y42" i="1"/>
  <c r="Z42" i="1" s="1"/>
  <c r="Y64" i="1"/>
  <c r="Z64" i="1" s="1"/>
  <c r="Y8" i="1"/>
  <c r="Z8" i="1" s="1"/>
  <c r="Y14" i="1"/>
  <c r="Z14" i="1" s="1"/>
  <c r="Y87" i="1"/>
  <c r="Z87" i="1" s="1"/>
  <c r="Y15" i="1"/>
  <c r="Z15" i="1" s="1"/>
  <c r="Y9" i="1"/>
  <c r="Z9" i="1" s="1"/>
  <c r="Y71" i="1"/>
  <c r="Z71" i="1" s="1"/>
  <c r="Y77" i="1"/>
  <c r="Z77" i="1" s="1"/>
  <c r="Y46" i="1"/>
  <c r="Z46" i="1" s="1"/>
</calcChain>
</file>

<file path=xl/sharedStrings.xml><?xml version="1.0" encoding="utf-8"?>
<sst xmlns="http://schemas.openxmlformats.org/spreadsheetml/2006/main" count="827" uniqueCount="81">
  <si>
    <t>fish_id</t>
  </si>
  <si>
    <t>M</t>
  </si>
  <si>
    <t>F</t>
  </si>
  <si>
    <t>day</t>
  </si>
  <si>
    <t>start_time</t>
  </si>
  <si>
    <t>sex</t>
  </si>
  <si>
    <t>zantiks_unit</t>
  </si>
  <si>
    <t>arena_position</t>
  </si>
  <si>
    <t>tank</t>
  </si>
  <si>
    <t>genotype</t>
  </si>
  <si>
    <t>keep</t>
  </si>
  <si>
    <t>notes</t>
  </si>
  <si>
    <t>date</t>
  </si>
  <si>
    <t>L</t>
  </si>
  <si>
    <t>R</t>
  </si>
  <si>
    <t>Hard to capture post test. Quite hyper and kept beaching itself</t>
  </si>
  <si>
    <t>last one in tank therefore alone for 15 min</t>
  </si>
  <si>
    <t>alone for 5 minutes before testing as it was the last fish. at test start went straight to top</t>
  </si>
  <si>
    <t>Y</t>
  </si>
  <si>
    <t>N</t>
  </si>
  <si>
    <t>ZONE1_DISTANCE</t>
  </si>
  <si>
    <t>ZONE2_DISTANCE</t>
  </si>
  <si>
    <t>ZONE3_DISTANCE</t>
  </si>
  <si>
    <t>ZONE1_TIME</t>
  </si>
  <si>
    <t>ZONE2_TIME</t>
  </si>
  <si>
    <t>ZONE3_TIME</t>
  </si>
  <si>
    <t>ZONE1_COUNT</t>
  </si>
  <si>
    <t>ZONE2_COUNT</t>
  </si>
  <si>
    <t>ZONE3_COUNT</t>
  </si>
  <si>
    <t>het</t>
  </si>
  <si>
    <t>hom</t>
  </si>
  <si>
    <t>wt</t>
  </si>
  <si>
    <t>Data file empty</t>
  </si>
  <si>
    <t>TIME_TO_TOP</t>
  </si>
  <si>
    <t>Top at start</t>
  </si>
  <si>
    <t>Fish</t>
  </si>
  <si>
    <t>hgsnat G577Sfs genotype</t>
  </si>
  <si>
    <t>?</t>
  </si>
  <si>
    <t>blank?</t>
  </si>
  <si>
    <t>blank</t>
  </si>
  <si>
    <t>Round 2</t>
  </si>
  <si>
    <t>Initial reduced numbers</t>
  </si>
  <si>
    <t>Perfect time. Will specify otherwise</t>
  </si>
  <si>
    <t>NA</t>
  </si>
  <si>
    <t>608s</t>
  </si>
  <si>
    <t>609s</t>
  </si>
  <si>
    <t>**</t>
  </si>
  <si>
    <t>921s</t>
  </si>
  <si>
    <t>704s</t>
  </si>
  <si>
    <t>676s</t>
  </si>
  <si>
    <t>631s</t>
  </si>
  <si>
    <t>611s</t>
  </si>
  <si>
    <t>603s</t>
  </si>
  <si>
    <t>699s</t>
  </si>
  <si>
    <t>685s</t>
  </si>
  <si>
    <t>714s</t>
  </si>
  <si>
    <t>706s</t>
  </si>
  <si>
    <t>in for 30 secs extra before tracking started since I knocked the unit and had to adjust the tank positions. 608s</t>
  </si>
  <si>
    <t>**start data</t>
  </si>
  <si>
    <t>654s</t>
  </si>
  <si>
    <t>Switched to 5s bins with this pair onwards</t>
  </si>
  <si>
    <t>628s</t>
  </si>
  <si>
    <t>729s</t>
  </si>
  <si>
    <t>659s</t>
  </si>
  <si>
    <t>738s</t>
  </si>
  <si>
    <t>648s</t>
  </si>
  <si>
    <t>733s</t>
  </si>
  <si>
    <t>20 secs in tank before start. Hyper when catching for tailclip. 659s</t>
  </si>
  <si>
    <t>jumped out as I was putting it in the flask. 20 secs to capture. 659s</t>
  </si>
  <si>
    <t>601s</t>
  </si>
  <si>
    <t>651s</t>
  </si>
  <si>
    <t>TOTAL_DISTANCE</t>
  </si>
  <si>
    <t>Z1_DIST_RATIO</t>
  </si>
  <si>
    <t>keep_t2t</t>
  </si>
  <si>
    <t xml:space="preserve">delayed start again as forgot to click begin. clicked it on other machine. 651s </t>
  </si>
  <si>
    <t>In tank for 1 min extra before recording began. 603s</t>
  </si>
  <si>
    <t>jumped out as I was putting it in the flask. 1 minute to capture. 603s</t>
  </si>
  <si>
    <t>start_time_group</t>
  </si>
  <si>
    <t>morn</t>
  </si>
  <si>
    <t>midd</t>
  </si>
  <si>
    <t>arvo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</si>
</sst>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sz val="16"/>
      <color rgb="FF333333"/>
      <name val="Helvetica Neue"/>
      <family val="2"/>
    </font>
    <font>
      <sz val="16"/>
      <color rgb="FF000000"/>
      <name val="Calibri"/>
      <family val="2"/>
      <scheme val="minor"/>
    </font>
    <font>
      <sz val="16"/>
      <color rgb="FF333333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right" vertical="center" shrinkToFit="1"/>
    </xf>
    <xf numFmtId="2" fontId="3" fillId="0" borderId="0" xfId="0" applyNumberFormat="1" applyFont="1" applyAlignment="1">
      <alignment horizontal="right" vertical="center" shrinkToFit="1"/>
    </xf>
    <xf numFmtId="14" fontId="3" fillId="0" borderId="0" xfId="0" applyNumberFormat="1" applyFont="1" applyAlignment="1">
      <alignment horizontal="right" vertical="center" shrinkToFit="1"/>
    </xf>
    <xf numFmtId="0" fontId="5" fillId="0" borderId="0" xfId="0" applyFont="1" applyAlignment="1">
      <alignment horizontal="right" vertical="center" shrinkToFit="1"/>
    </xf>
    <xf numFmtId="0" fontId="6" fillId="0" borderId="0" xfId="0" applyFont="1" applyAlignment="1">
      <alignment horizontal="right" vertical="center" shrinkToFit="1"/>
    </xf>
    <xf numFmtId="0" fontId="6" fillId="0" borderId="0" xfId="0" applyFont="1" applyAlignment="1">
      <alignment horizontal="right" shrinkToFit="1"/>
    </xf>
    <xf numFmtId="0" fontId="5" fillId="0" borderId="0" xfId="0" applyFont="1" applyAlignment="1">
      <alignment horizontal="right" shrinkToFi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9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 shrinkToFit="1"/>
    </xf>
    <xf numFmtId="0" fontId="3" fillId="0" borderId="3" xfId="0" applyFont="1" applyBorder="1" applyAlignment="1">
      <alignment horizontal="right" vertical="center" shrinkToFit="1"/>
    </xf>
    <xf numFmtId="0" fontId="7" fillId="2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shrinkToFit="1"/>
    </xf>
    <xf numFmtId="0" fontId="5" fillId="0" borderId="2" xfId="0" applyFont="1" applyBorder="1" applyAlignment="1">
      <alignment horizontal="right" shrinkToFit="1"/>
    </xf>
    <xf numFmtId="0" fontId="5" fillId="0" borderId="4" xfId="0" applyFont="1" applyBorder="1" applyAlignment="1">
      <alignment horizontal="right" shrinkToFit="1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" formatCode="0.0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2" formatCode="0.00"/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2" formatCode="0.00"/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E8D59-F64B-8746-9E56-4D81E3763389}" name="Table1" displayName="Table1" ref="A1:Z94" totalsRowShown="0" headerRowDxfId="27" dataDxfId="26">
  <autoFilter ref="A1:Z94" xr:uid="{25068204-E17E-AE47-82E1-5E5493FE3B88}"/>
  <sortState xmlns:xlrd2="http://schemas.microsoft.com/office/spreadsheetml/2017/richdata2" ref="A2:Z94">
    <sortCondition ref="S1:S94"/>
  </sortState>
  <tableColumns count="26">
    <tableColumn id="1" xr3:uid="{2ADEC566-5975-0E45-BC21-6F80573C6AB3}" name="fish_id" dataDxfId="25"/>
    <tableColumn id="2" xr3:uid="{FBF252BB-D707-1346-9A8A-742EC4CA917D}" name="day" dataDxfId="24"/>
    <tableColumn id="3" xr3:uid="{3905AC11-8848-A14D-8C06-C45320E6ACC9}" name="start_time" dataDxfId="23"/>
    <tableColumn id="7" xr3:uid="{0DBBB846-48BD-EC43-AA83-6BD26209A389}" name="tank" dataDxfId="22"/>
    <tableColumn id="9" xr3:uid="{45307A71-D339-42E1-8CEB-F54DB34BD42C}" name="zantiks_unit" dataDxfId="21"/>
    <tableColumn id="10" xr3:uid="{E0041A89-0877-4ABA-8CB1-A641735947CD}" name="arena_position" dataDxfId="20"/>
    <tableColumn id="12" xr3:uid="{65C67187-7EF1-4E57-AB08-0AC88E55E53C}" name="start_time_group" dataDxfId="19"/>
    <tableColumn id="4" xr3:uid="{59D24092-F399-6C48-8366-C08AC858AB72}" name="sex" dataDxfId="18"/>
    <tableColumn id="5" xr3:uid="{35C2081A-554E-F642-8D04-E6BCC5D2722E}" name="genotype" dataDxfId="17"/>
    <tableColumn id="6" xr3:uid="{4B762495-EFB3-1A4E-8CD6-68B55E03C30A}" name="keep" dataDxfId="16"/>
    <tableColumn id="11" xr3:uid="{06D6A09D-57F0-4487-86B3-B678BE83E35D}" name="notes" dataDxfId="15"/>
    <tableColumn id="8" xr3:uid="{AAE57C4D-C263-3342-8137-05F09D673B3C}" name="date" dataDxfId="14"/>
    <tableColumn id="13" xr3:uid="{CE2C7090-E473-4784-9344-90FB32BBB7D1}" name="ZONE1_DISTANCE" dataDxfId="13"/>
    <tableColumn id="14" xr3:uid="{749FB963-6038-4187-A84D-707CE5B58248}" name="ZONE2_DISTANCE" dataDxfId="12"/>
    <tableColumn id="15" xr3:uid="{596FAE66-032B-40A1-983D-B73BAA5B54ED}" name="ZONE3_DISTANCE" dataDxfId="11"/>
    <tableColumn id="16" xr3:uid="{2E16C859-41D9-400C-B576-0312B1745199}" name="ZONE1_TIME" dataDxfId="10"/>
    <tableColumn id="17" xr3:uid="{22F3CFF8-594A-4386-AB2D-B142C332A7B9}" name="ZONE2_TIME" dataDxfId="9"/>
    <tableColumn id="18" xr3:uid="{DC3CDEEC-26B6-4FB6-AE4A-C06E74906860}" name="ZONE3_TIME" dataDxfId="8"/>
    <tableColumn id="19" xr3:uid="{79DBC105-9EFC-4A35-B7A0-495759841E1D}" name="ZONE1_COUNT" dataDxfId="7"/>
    <tableColumn id="20" xr3:uid="{407E688B-D3EF-4E30-9754-76D33B6D3A1B}" name="ZONE2_COUNT" dataDxfId="6"/>
    <tableColumn id="21" xr3:uid="{ADAD6B79-325B-4F25-B5BE-3477D5111A39}" name="ZONE3_COUNT" dataDxfId="5"/>
    <tableColumn id="22" xr3:uid="{9343E610-787F-44CF-B97A-B46CF3B6DFD4}" name="TIME_TO_TOP" dataDxfId="4"/>
    <tableColumn id="23" xr3:uid="{18FA9B22-F01C-4FE0-AB9F-E2687F12D53F}" name="Top at start" dataDxfId="3"/>
    <tableColumn id="26" xr3:uid="{F6D0DC02-ABE9-44DC-A138-FD05DD9F075F}" name="keep_t2t" dataDxfId="2"/>
    <tableColumn id="24" xr3:uid="{46FB572B-2171-4DFE-B8BB-272927422E1C}" name="TOTAL_DISTANCE" dataDxfId="1">
      <calculatedColumnFormula>SUM(Table1[[#This Row],[ZONE1_DISTANCE]:[ZONE3_DISTANCE]])</calculatedColumnFormula>
    </tableColumn>
    <tableColumn id="25" xr3:uid="{1A745D46-9699-4884-8A07-5FB484D7F7FE}" name="Z1_DIST_RATIO" dataDxfId="0">
      <calculatedColumnFormula>Table1[[#This Row],[ZONE1_DISTANCE]]/Table1[[#This Row],[TOTAL_DISTANCE]]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261E-3219-3A41-A228-8BF720AF485A}">
  <dimension ref="A1:Z122"/>
  <sheetViews>
    <sheetView tabSelected="1" zoomScale="60" zoomScaleNormal="60" workbookViewId="0">
      <pane xSplit="1" topLeftCell="B1" activePane="topRight" state="frozen"/>
      <selection pane="topRight" activeCell="P14" sqref="P14"/>
    </sheetView>
  </sheetViews>
  <sheetFormatPr defaultColWidth="10.58203125" defaultRowHeight="15.5"/>
  <cols>
    <col min="1" max="1" width="9.25" customWidth="1"/>
    <col min="2" max="2" width="6.83203125" customWidth="1"/>
    <col min="3" max="3" width="19.75" customWidth="1"/>
    <col min="4" max="4" width="7.6640625" customWidth="1"/>
    <col min="5" max="5" width="12.75" customWidth="1"/>
    <col min="6" max="6" width="11.08203125" customWidth="1"/>
    <col min="7" max="7" width="25.1640625" customWidth="1"/>
    <col min="8" max="8" width="6.58203125" customWidth="1"/>
    <col min="9" max="9" width="11.6640625" customWidth="1"/>
    <col min="10" max="10" width="7.6640625" customWidth="1"/>
    <col min="11" max="11" width="58.58203125" customWidth="1"/>
    <col min="12" max="12" width="13.5" customWidth="1"/>
    <col min="13" max="13" width="16.75" customWidth="1"/>
    <col min="14" max="14" width="16.6640625" customWidth="1"/>
    <col min="15" max="15" width="16.58203125" customWidth="1"/>
    <col min="16" max="16" width="14.9140625" customWidth="1"/>
    <col min="17" max="17" width="14.75" customWidth="1"/>
    <col min="18" max="18" width="13.6640625" customWidth="1"/>
    <col min="19" max="19" width="13.83203125" customWidth="1"/>
    <col min="20" max="20" width="13.4140625" customWidth="1"/>
    <col min="21" max="21" width="13.83203125" customWidth="1"/>
    <col min="22" max="22" width="14.33203125" customWidth="1"/>
    <col min="23" max="23" width="12" customWidth="1"/>
    <col min="24" max="24" width="16" customWidth="1"/>
    <col min="25" max="26" width="19" customWidth="1"/>
  </cols>
  <sheetData>
    <row r="1" spans="1:26" s="11" customFormat="1">
      <c r="A1" s="12" t="s">
        <v>0</v>
      </c>
      <c r="B1" s="12" t="s">
        <v>3</v>
      </c>
      <c r="C1" s="12" t="s">
        <v>4</v>
      </c>
      <c r="D1" s="12" t="s">
        <v>8</v>
      </c>
      <c r="E1" s="12" t="s">
        <v>6</v>
      </c>
      <c r="F1" s="12" t="s">
        <v>7</v>
      </c>
      <c r="G1" s="12" t="s">
        <v>77</v>
      </c>
      <c r="H1" s="12" t="s">
        <v>5</v>
      </c>
      <c r="I1" s="12" t="s">
        <v>9</v>
      </c>
      <c r="J1" s="12" t="s">
        <v>10</v>
      </c>
      <c r="K1" s="12" t="s">
        <v>11</v>
      </c>
      <c r="L1" s="12" t="s">
        <v>12</v>
      </c>
      <c r="M1" s="12" t="s">
        <v>20</v>
      </c>
      <c r="N1" s="12" t="s">
        <v>21</v>
      </c>
      <c r="O1" s="12" t="s">
        <v>22</v>
      </c>
      <c r="P1" s="12" t="s">
        <v>23</v>
      </c>
      <c r="Q1" s="12" t="s">
        <v>24</v>
      </c>
      <c r="R1" s="12" t="s">
        <v>25</v>
      </c>
      <c r="S1" s="12" t="s">
        <v>26</v>
      </c>
      <c r="T1" s="12" t="s">
        <v>27</v>
      </c>
      <c r="U1" s="12" t="s">
        <v>28</v>
      </c>
      <c r="V1" s="12" t="s">
        <v>33</v>
      </c>
      <c r="W1" s="12" t="s">
        <v>34</v>
      </c>
      <c r="X1" s="12" t="s">
        <v>73</v>
      </c>
      <c r="Y1" s="12" t="s">
        <v>71</v>
      </c>
      <c r="Z1" s="12" t="s">
        <v>72</v>
      </c>
    </row>
    <row r="2" spans="1:26" ht="21">
      <c r="A2" s="4">
        <v>5</v>
      </c>
      <c r="B2" s="4">
        <v>1</v>
      </c>
      <c r="C2" s="5">
        <v>11.42</v>
      </c>
      <c r="D2" s="4">
        <v>1</v>
      </c>
      <c r="E2" s="4">
        <v>139</v>
      </c>
      <c r="F2" s="4" t="s">
        <v>14</v>
      </c>
      <c r="G2" s="5" t="s">
        <v>78</v>
      </c>
      <c r="H2" s="4" t="s">
        <v>1</v>
      </c>
      <c r="I2" s="9" t="s">
        <v>30</v>
      </c>
      <c r="J2" s="4" t="s">
        <v>18</v>
      </c>
      <c r="K2" s="22"/>
      <c r="L2" s="6">
        <v>45153</v>
      </c>
      <c r="M2">
        <v>9.9999999999999995E-7</v>
      </c>
      <c r="N2">
        <v>505.9</v>
      </c>
      <c r="O2">
        <v>16800</v>
      </c>
      <c r="P2">
        <v>9.9999999999999995E-7</v>
      </c>
      <c r="Q2">
        <v>9.3940000000000001</v>
      </c>
      <c r="R2">
        <v>591.89</v>
      </c>
      <c r="S2">
        <v>0</v>
      </c>
      <c r="T2">
        <v>8</v>
      </c>
      <c r="U2">
        <v>9</v>
      </c>
      <c r="V2" s="4" t="s">
        <v>43</v>
      </c>
      <c r="W2" s="4"/>
      <c r="X2" s="4" t="s">
        <v>18</v>
      </c>
      <c r="Y2" s="4">
        <f>SUM(Table1[[#This Row],[ZONE1_DISTANCE]:[ZONE3_DISTANCE]])</f>
        <v>17305.900001000002</v>
      </c>
      <c r="Z2" s="4">
        <f>Table1[[#This Row],[ZONE1_DISTANCE]]/Table1[[#This Row],[TOTAL_DISTANCE]]</f>
        <v>5.7783761603974144E-11</v>
      </c>
    </row>
    <row r="3" spans="1:26" ht="21">
      <c r="A3" s="4">
        <v>24</v>
      </c>
      <c r="B3" s="4">
        <v>1</v>
      </c>
      <c r="C3" s="5">
        <v>13.41</v>
      </c>
      <c r="D3" s="4">
        <v>4</v>
      </c>
      <c r="E3" s="4">
        <v>148</v>
      </c>
      <c r="F3" s="4" t="s">
        <v>14</v>
      </c>
      <c r="G3" s="5" t="s">
        <v>79</v>
      </c>
      <c r="H3" s="4" t="s">
        <v>1</v>
      </c>
      <c r="I3" s="9" t="s">
        <v>30</v>
      </c>
      <c r="J3" s="4" t="s">
        <v>18</v>
      </c>
      <c r="K3" s="22" t="s">
        <v>53</v>
      </c>
      <c r="L3" s="6">
        <v>45153</v>
      </c>
      <c r="M3">
        <v>9.9999999999999995E-7</v>
      </c>
      <c r="N3">
        <v>862.6</v>
      </c>
      <c r="O3">
        <v>12967.3</v>
      </c>
      <c r="P3">
        <v>9.9999999999999995E-7</v>
      </c>
      <c r="Q3">
        <v>24.530999999999999</v>
      </c>
      <c r="R3">
        <v>576.62300000000005</v>
      </c>
      <c r="S3">
        <v>0</v>
      </c>
      <c r="T3">
        <v>14</v>
      </c>
      <c r="U3">
        <v>15</v>
      </c>
      <c r="V3" s="4" t="s">
        <v>43</v>
      </c>
      <c r="W3" s="4"/>
      <c r="X3" s="4" t="s">
        <v>18</v>
      </c>
      <c r="Y3" s="4">
        <f>SUM(Table1[[#This Row],[ZONE1_DISTANCE]:[ZONE3_DISTANCE]])</f>
        <v>13829.900001</v>
      </c>
      <c r="Z3" s="4">
        <f>Table1[[#This Row],[ZONE1_DISTANCE]]/Table1[[#This Row],[TOTAL_DISTANCE]]</f>
        <v>7.2307102721472528E-11</v>
      </c>
    </row>
    <row r="4" spans="1:26" ht="21">
      <c r="A4" s="4">
        <v>26</v>
      </c>
      <c r="B4" s="4">
        <v>1</v>
      </c>
      <c r="C4" s="5">
        <v>14.32</v>
      </c>
      <c r="D4" s="4">
        <v>4</v>
      </c>
      <c r="E4" s="4">
        <v>139</v>
      </c>
      <c r="F4" s="4" t="s">
        <v>14</v>
      </c>
      <c r="G4" s="5" t="s">
        <v>80</v>
      </c>
      <c r="H4" s="4" t="s">
        <v>1</v>
      </c>
      <c r="I4" s="9" t="s">
        <v>30</v>
      </c>
      <c r="J4" s="4" t="s">
        <v>18</v>
      </c>
      <c r="K4" s="22" t="s">
        <v>54</v>
      </c>
      <c r="L4" s="6">
        <v>45153</v>
      </c>
      <c r="M4">
        <v>9.9999999999999995E-7</v>
      </c>
      <c r="N4">
        <v>1746.4</v>
      </c>
      <c r="O4">
        <v>12093</v>
      </c>
      <c r="P4">
        <v>9.9999999999999995E-7</v>
      </c>
      <c r="Q4">
        <v>58.261000000000003</v>
      </c>
      <c r="R4">
        <v>542.90099999999995</v>
      </c>
      <c r="S4">
        <v>0</v>
      </c>
      <c r="T4">
        <v>15</v>
      </c>
      <c r="U4">
        <v>16</v>
      </c>
      <c r="V4" s="4" t="s">
        <v>43</v>
      </c>
      <c r="W4" s="4"/>
      <c r="X4" s="4" t="s">
        <v>18</v>
      </c>
      <c r="Y4" s="4">
        <f>SUM(Table1[[#This Row],[ZONE1_DISTANCE]:[ZONE3_DISTANCE]])</f>
        <v>13839.400001</v>
      </c>
      <c r="Z4" s="4">
        <f>Table1[[#This Row],[ZONE1_DISTANCE]]/Table1[[#This Row],[TOTAL_DISTANCE]]</f>
        <v>7.225746780407695E-11</v>
      </c>
    </row>
    <row r="5" spans="1:26" ht="21">
      <c r="A5" s="4">
        <v>34</v>
      </c>
      <c r="B5" s="4">
        <v>1</v>
      </c>
      <c r="C5" s="5">
        <v>15.15</v>
      </c>
      <c r="D5" s="4">
        <v>2</v>
      </c>
      <c r="E5" s="4">
        <v>139</v>
      </c>
      <c r="F5" s="4" t="s">
        <v>14</v>
      </c>
      <c r="G5" s="5" t="s">
        <v>80</v>
      </c>
      <c r="H5" s="4" t="s">
        <v>1</v>
      </c>
      <c r="I5" s="10" t="s">
        <v>29</v>
      </c>
      <c r="J5" s="4" t="s">
        <v>18</v>
      </c>
      <c r="K5" s="22" t="s">
        <v>55</v>
      </c>
      <c r="L5" s="6">
        <v>45153</v>
      </c>
      <c r="M5">
        <v>9.9999999999999995E-7</v>
      </c>
      <c r="N5">
        <v>33.4</v>
      </c>
      <c r="O5">
        <v>13423.5</v>
      </c>
      <c r="P5">
        <v>9.9999999999999995E-7</v>
      </c>
      <c r="Q5">
        <v>1.335</v>
      </c>
      <c r="R5">
        <v>599.82600000000002</v>
      </c>
      <c r="S5">
        <v>0</v>
      </c>
      <c r="T5">
        <v>2</v>
      </c>
      <c r="U5">
        <v>3</v>
      </c>
      <c r="V5" s="4" t="s">
        <v>43</v>
      </c>
      <c r="W5" s="4"/>
      <c r="X5" s="4" t="s">
        <v>18</v>
      </c>
      <c r="Y5" s="4">
        <f>SUM(Table1[[#This Row],[ZONE1_DISTANCE]:[ZONE3_DISTANCE]])</f>
        <v>13456.900001</v>
      </c>
      <c r="Z5" s="4">
        <f>Table1[[#This Row],[ZONE1_DISTANCE]]/Table1[[#This Row],[TOTAL_DISTANCE]]</f>
        <v>7.431131983782956E-11</v>
      </c>
    </row>
    <row r="6" spans="1:26" ht="21">
      <c r="A6" s="4">
        <v>45</v>
      </c>
      <c r="B6" s="4">
        <v>2</v>
      </c>
      <c r="C6" s="5">
        <v>10.48</v>
      </c>
      <c r="D6" s="4">
        <v>3</v>
      </c>
      <c r="E6" s="4">
        <v>139</v>
      </c>
      <c r="F6" s="4" t="s">
        <v>13</v>
      </c>
      <c r="G6" s="5" t="s">
        <v>78</v>
      </c>
      <c r="H6" s="4" t="s">
        <v>2</v>
      </c>
      <c r="I6" s="10" t="s">
        <v>31</v>
      </c>
      <c r="J6" s="4" t="s">
        <v>18</v>
      </c>
      <c r="K6" s="22"/>
      <c r="L6" s="6">
        <v>45154</v>
      </c>
      <c r="M6">
        <v>9.9999999999999995E-7</v>
      </c>
      <c r="N6">
        <v>2376.6999999999998</v>
      </c>
      <c r="O6">
        <v>19538.900000000001</v>
      </c>
      <c r="P6">
        <v>9.9999999999999995E-7</v>
      </c>
      <c r="Q6">
        <v>45.244</v>
      </c>
      <c r="R6">
        <v>555.92499999999995</v>
      </c>
      <c r="S6">
        <v>0</v>
      </c>
      <c r="T6">
        <v>22</v>
      </c>
      <c r="U6">
        <v>22</v>
      </c>
      <c r="V6" s="4" t="s">
        <v>43</v>
      </c>
      <c r="W6" s="4"/>
      <c r="X6" s="4" t="s">
        <v>18</v>
      </c>
      <c r="Y6" s="4">
        <f>SUM(Table1[[#This Row],[ZONE1_DISTANCE]:[ZONE3_DISTANCE]])</f>
        <v>21915.600001000003</v>
      </c>
      <c r="Z6" s="4">
        <f>Table1[[#This Row],[ZONE1_DISTANCE]]/Table1[[#This Row],[TOTAL_DISTANCE]]</f>
        <v>4.5629597179834011E-11</v>
      </c>
    </row>
    <row r="7" spans="1:26" ht="21">
      <c r="A7" s="4">
        <v>53</v>
      </c>
      <c r="B7" s="4">
        <v>2</v>
      </c>
      <c r="C7" s="5">
        <v>11.24</v>
      </c>
      <c r="D7" s="4">
        <v>1</v>
      </c>
      <c r="E7" s="4">
        <v>139</v>
      </c>
      <c r="F7" s="4" t="s">
        <v>13</v>
      </c>
      <c r="G7" s="5" t="s">
        <v>78</v>
      </c>
      <c r="H7" s="4" t="s">
        <v>1</v>
      </c>
      <c r="I7" s="9" t="s">
        <v>30</v>
      </c>
      <c r="J7" s="4" t="s">
        <v>18</v>
      </c>
      <c r="K7" s="22"/>
      <c r="L7" s="6">
        <v>45154</v>
      </c>
      <c r="M7">
        <v>9.9999999999999995E-7</v>
      </c>
      <c r="N7">
        <v>12.8</v>
      </c>
      <c r="O7">
        <v>12119.5</v>
      </c>
      <c r="P7">
        <v>9.9999999999999995E-7</v>
      </c>
      <c r="Q7">
        <v>0.13400000000000001</v>
      </c>
      <c r="R7">
        <v>600.101</v>
      </c>
      <c r="S7">
        <v>0</v>
      </c>
      <c r="T7">
        <v>1</v>
      </c>
      <c r="U7">
        <v>2</v>
      </c>
      <c r="V7" s="4" t="s">
        <v>43</v>
      </c>
      <c r="W7" s="4"/>
      <c r="X7" s="4" t="s">
        <v>18</v>
      </c>
      <c r="Y7" s="4">
        <f>SUM(Table1[[#This Row],[ZONE1_DISTANCE]:[ZONE3_DISTANCE]])</f>
        <v>12132.300001</v>
      </c>
      <c r="Z7" s="4">
        <f>Table1[[#This Row],[ZONE1_DISTANCE]]/Table1[[#This Row],[TOTAL_DISTANCE]]</f>
        <v>8.2424602088439571E-11</v>
      </c>
    </row>
    <row r="8" spans="1:26" ht="21">
      <c r="A8" s="4">
        <v>86</v>
      </c>
      <c r="B8" s="4">
        <v>2</v>
      </c>
      <c r="C8" s="5">
        <v>14.36</v>
      </c>
      <c r="D8" s="4">
        <v>3</v>
      </c>
      <c r="E8" s="4">
        <v>139</v>
      </c>
      <c r="F8" s="4" t="s">
        <v>14</v>
      </c>
      <c r="G8" s="5" t="s">
        <v>80</v>
      </c>
      <c r="H8" s="4" t="s">
        <v>1</v>
      </c>
      <c r="I8" s="10" t="s">
        <v>29</v>
      </c>
      <c r="J8" s="4" t="s">
        <v>18</v>
      </c>
      <c r="K8" s="22" t="s">
        <v>66</v>
      </c>
      <c r="L8" s="6">
        <v>45154</v>
      </c>
      <c r="M8">
        <v>9.9999999999999995E-7</v>
      </c>
      <c r="N8">
        <v>50.1</v>
      </c>
      <c r="O8">
        <v>18225.099999999999</v>
      </c>
      <c r="P8">
        <v>9.9999999999999995E-7</v>
      </c>
      <c r="Q8">
        <v>1.272</v>
      </c>
      <c r="R8">
        <v>599.01</v>
      </c>
      <c r="S8">
        <v>0</v>
      </c>
      <c r="T8">
        <v>2</v>
      </c>
      <c r="U8">
        <v>3</v>
      </c>
      <c r="V8" s="4" t="s">
        <v>43</v>
      </c>
      <c r="W8" s="4"/>
      <c r="X8" s="4" t="s">
        <v>18</v>
      </c>
      <c r="Y8" s="4">
        <f>SUM(Table1[[#This Row],[ZONE1_DISTANCE]:[ZONE3_DISTANCE]])</f>
        <v>18275.200000999997</v>
      </c>
      <c r="Z8" s="4">
        <f>Table1[[#This Row],[ZONE1_DISTANCE]]/Table1[[#This Row],[TOTAL_DISTANCE]]</f>
        <v>5.4718963400963118E-11</v>
      </c>
    </row>
    <row r="9" spans="1:26" ht="21">
      <c r="A9" s="4">
        <v>90</v>
      </c>
      <c r="B9" s="4">
        <v>2</v>
      </c>
      <c r="C9" s="5">
        <v>15.04</v>
      </c>
      <c r="D9" s="4">
        <v>2</v>
      </c>
      <c r="E9" s="4">
        <v>139</v>
      </c>
      <c r="F9" s="4" t="s">
        <v>14</v>
      </c>
      <c r="G9" s="5" t="s">
        <v>80</v>
      </c>
      <c r="H9" s="4" t="s">
        <v>1</v>
      </c>
      <c r="I9" s="10" t="s">
        <v>29</v>
      </c>
      <c r="J9" s="4" t="s">
        <v>18</v>
      </c>
      <c r="K9" s="22" t="s">
        <v>69</v>
      </c>
      <c r="L9" s="6">
        <v>45154</v>
      </c>
      <c r="M9">
        <v>9.9999999999999995E-7</v>
      </c>
      <c r="N9">
        <v>226.1</v>
      </c>
      <c r="O9">
        <v>14562.4</v>
      </c>
      <c r="P9">
        <v>9.9999999999999995E-7</v>
      </c>
      <c r="Q9">
        <v>5</v>
      </c>
      <c r="R9">
        <v>595.24199999999996</v>
      </c>
      <c r="S9">
        <v>0</v>
      </c>
      <c r="T9">
        <v>2</v>
      </c>
      <c r="U9">
        <v>3</v>
      </c>
      <c r="V9" s="4" t="s">
        <v>43</v>
      </c>
      <c r="W9" s="4"/>
      <c r="X9" s="4" t="s">
        <v>18</v>
      </c>
      <c r="Y9" s="4">
        <f>SUM(Table1[[#This Row],[ZONE1_DISTANCE]:[ZONE3_DISTANCE]])</f>
        <v>14788.500001</v>
      </c>
      <c r="Z9" s="4">
        <f>Table1[[#This Row],[ZONE1_DISTANCE]]/Table1[[#This Row],[TOTAL_DISTANCE]]</f>
        <v>6.762011021620717E-11</v>
      </c>
    </row>
    <row r="10" spans="1:26" ht="21">
      <c r="A10" s="4">
        <v>50</v>
      </c>
      <c r="B10" s="4">
        <v>2</v>
      </c>
      <c r="C10" s="5">
        <v>11.07</v>
      </c>
      <c r="D10" s="4">
        <v>2</v>
      </c>
      <c r="E10" s="4">
        <v>139</v>
      </c>
      <c r="F10" s="4" t="s">
        <v>14</v>
      </c>
      <c r="G10" s="5" t="s">
        <v>78</v>
      </c>
      <c r="H10" s="4" t="s">
        <v>2</v>
      </c>
      <c r="I10" s="9" t="s">
        <v>30</v>
      </c>
      <c r="J10" s="4" t="s">
        <v>18</v>
      </c>
      <c r="K10" s="22" t="s">
        <v>60</v>
      </c>
      <c r="L10" s="6">
        <v>45154</v>
      </c>
      <c r="M10">
        <v>33.700000000000003</v>
      </c>
      <c r="N10">
        <v>2074.9</v>
      </c>
      <c r="O10">
        <v>14883.2</v>
      </c>
      <c r="P10">
        <v>0.73199999999999998</v>
      </c>
      <c r="Q10">
        <v>49.268999999999998</v>
      </c>
      <c r="R10">
        <v>550.23099999999999</v>
      </c>
      <c r="S10">
        <v>1</v>
      </c>
      <c r="T10">
        <v>21</v>
      </c>
      <c r="U10">
        <v>21</v>
      </c>
      <c r="V10">
        <v>495.87700000000001</v>
      </c>
      <c r="W10" s="4"/>
      <c r="X10" s="4" t="s">
        <v>18</v>
      </c>
      <c r="Y10" s="4">
        <f>SUM(Table1[[#This Row],[ZONE1_DISTANCE]:[ZONE3_DISTANCE]])</f>
        <v>16991.8</v>
      </c>
      <c r="Z10" s="4">
        <f>Table1[[#This Row],[ZONE1_DISTANCE]]/Table1[[#This Row],[TOTAL_DISTANCE]]</f>
        <v>1.9833095963935547E-3</v>
      </c>
    </row>
    <row r="11" spans="1:26" ht="21">
      <c r="A11" s="4">
        <v>79</v>
      </c>
      <c r="B11" s="4">
        <v>2</v>
      </c>
      <c r="C11" s="5">
        <v>14.02</v>
      </c>
      <c r="D11" s="4">
        <v>1</v>
      </c>
      <c r="E11" s="4">
        <v>148</v>
      </c>
      <c r="F11" s="4" t="s">
        <v>13</v>
      </c>
      <c r="G11" s="5" t="s">
        <v>80</v>
      </c>
      <c r="H11" s="4" t="s">
        <v>1</v>
      </c>
      <c r="I11" s="9" t="s">
        <v>30</v>
      </c>
      <c r="J11" s="4" t="s">
        <v>18</v>
      </c>
      <c r="K11" s="22" t="s">
        <v>66</v>
      </c>
      <c r="L11" s="6">
        <v>45154</v>
      </c>
      <c r="M11">
        <v>9.9999999999999995E-7</v>
      </c>
      <c r="N11">
        <v>2228.6</v>
      </c>
      <c r="O11">
        <v>14053.1</v>
      </c>
      <c r="P11">
        <v>0.13300000000000001</v>
      </c>
      <c r="Q11">
        <v>67.588999999999999</v>
      </c>
      <c r="R11">
        <v>532.51900000000001</v>
      </c>
      <c r="S11">
        <v>1</v>
      </c>
      <c r="T11">
        <v>22</v>
      </c>
      <c r="U11">
        <v>21</v>
      </c>
      <c r="V11">
        <v>527.96900000000005</v>
      </c>
      <c r="W11" s="4"/>
      <c r="X11" s="4" t="s">
        <v>18</v>
      </c>
      <c r="Y11" s="4">
        <f>SUM(Table1[[#This Row],[ZONE1_DISTANCE]:[ZONE3_DISTANCE]])</f>
        <v>16281.700001000001</v>
      </c>
      <c r="Z11" s="4">
        <f>Table1[[#This Row],[ZONE1_DISTANCE]]/Table1[[#This Row],[TOTAL_DISTANCE]]</f>
        <v>6.1418647926112209E-11</v>
      </c>
    </row>
    <row r="12" spans="1:26" ht="21">
      <c r="A12" s="4">
        <v>60</v>
      </c>
      <c r="B12" s="4">
        <v>2</v>
      </c>
      <c r="C12" s="5">
        <v>11.5</v>
      </c>
      <c r="D12" s="4">
        <v>2</v>
      </c>
      <c r="E12" s="4">
        <v>148</v>
      </c>
      <c r="F12" s="4" t="s">
        <v>14</v>
      </c>
      <c r="G12" s="5" t="s">
        <v>78</v>
      </c>
      <c r="H12" s="4" t="s">
        <v>1</v>
      </c>
      <c r="I12" s="9" t="s">
        <v>29</v>
      </c>
      <c r="J12" s="4" t="s">
        <v>18</v>
      </c>
      <c r="K12" s="22" t="s">
        <v>62</v>
      </c>
      <c r="L12" s="6">
        <v>45154</v>
      </c>
      <c r="M12">
        <v>74.8</v>
      </c>
      <c r="N12">
        <v>2383.6999999999998</v>
      </c>
      <c r="O12">
        <v>16568.900000000001</v>
      </c>
      <c r="P12">
        <v>0.86799999999999999</v>
      </c>
      <c r="Q12">
        <v>52.145000000000003</v>
      </c>
      <c r="R12">
        <v>547.226</v>
      </c>
      <c r="S12">
        <v>2</v>
      </c>
      <c r="T12">
        <v>29</v>
      </c>
      <c r="U12">
        <v>28</v>
      </c>
      <c r="V12">
        <v>674.83100000000002</v>
      </c>
      <c r="W12" s="4"/>
      <c r="X12" s="4" t="s">
        <v>18</v>
      </c>
      <c r="Y12" s="4">
        <f>SUM(Table1[[#This Row],[ZONE1_DISTANCE]:[ZONE3_DISTANCE]])</f>
        <v>19027.400000000001</v>
      </c>
      <c r="Z12" s="4">
        <f>Table1[[#This Row],[ZONE1_DISTANCE]]/Table1[[#This Row],[TOTAL_DISTANCE]]</f>
        <v>3.9311729400758905E-3</v>
      </c>
    </row>
    <row r="13" spans="1:26" ht="21">
      <c r="A13" s="4">
        <v>82</v>
      </c>
      <c r="B13" s="4">
        <v>2</v>
      </c>
      <c r="C13" s="5">
        <v>14.14</v>
      </c>
      <c r="D13" s="4">
        <v>2</v>
      </c>
      <c r="E13" s="4">
        <v>139</v>
      </c>
      <c r="F13" s="4" t="s">
        <v>14</v>
      </c>
      <c r="G13" s="5" t="s">
        <v>80</v>
      </c>
      <c r="H13" s="4" t="s">
        <v>1</v>
      </c>
      <c r="I13" s="9" t="s">
        <v>29</v>
      </c>
      <c r="J13" s="4" t="s">
        <v>18</v>
      </c>
      <c r="K13" s="22"/>
      <c r="L13" s="6">
        <v>45154</v>
      </c>
      <c r="M13">
        <v>73.8</v>
      </c>
      <c r="N13">
        <v>3043.5</v>
      </c>
      <c r="O13">
        <v>14088</v>
      </c>
      <c r="P13">
        <v>3.2650000000000001</v>
      </c>
      <c r="Q13">
        <v>66.856999999999999</v>
      </c>
      <c r="R13">
        <v>530.13199999999995</v>
      </c>
      <c r="S13">
        <v>2</v>
      </c>
      <c r="T13">
        <v>35</v>
      </c>
      <c r="U13">
        <v>34</v>
      </c>
      <c r="V13">
        <v>100.742</v>
      </c>
      <c r="W13" s="4"/>
      <c r="X13" s="4" t="s">
        <v>18</v>
      </c>
      <c r="Y13" s="4">
        <f>SUM(Table1[[#This Row],[ZONE1_DISTANCE]:[ZONE3_DISTANCE]])</f>
        <v>17205.3</v>
      </c>
      <c r="Z13" s="4">
        <f>Table1[[#This Row],[ZONE1_DISTANCE]]/Table1[[#This Row],[TOTAL_DISTANCE]]</f>
        <v>4.289375948109013E-3</v>
      </c>
    </row>
    <row r="14" spans="1:26" ht="21">
      <c r="A14" s="4">
        <v>87</v>
      </c>
      <c r="B14" s="4">
        <v>2</v>
      </c>
      <c r="C14" s="5">
        <v>14.43</v>
      </c>
      <c r="D14" s="4">
        <v>2</v>
      </c>
      <c r="E14" s="4">
        <v>148</v>
      </c>
      <c r="F14" s="4" t="s">
        <v>13</v>
      </c>
      <c r="G14" s="5" t="s">
        <v>80</v>
      </c>
      <c r="H14" s="4" t="s">
        <v>1</v>
      </c>
      <c r="I14" s="9" t="s">
        <v>30</v>
      </c>
      <c r="J14" s="4" t="s">
        <v>18</v>
      </c>
      <c r="K14" s="22"/>
      <c r="L14" s="6">
        <v>45154</v>
      </c>
      <c r="M14">
        <v>166.5</v>
      </c>
      <c r="N14">
        <v>966</v>
      </c>
      <c r="O14">
        <v>11874</v>
      </c>
      <c r="P14">
        <v>4.2</v>
      </c>
      <c r="Q14">
        <v>24.864000000000001</v>
      </c>
      <c r="R14">
        <v>571.18899999999996</v>
      </c>
      <c r="S14">
        <v>2</v>
      </c>
      <c r="T14">
        <v>7</v>
      </c>
      <c r="U14">
        <v>6</v>
      </c>
      <c r="V14">
        <v>405.88600000000002</v>
      </c>
      <c r="W14" s="4"/>
      <c r="X14" s="4" t="s">
        <v>18</v>
      </c>
      <c r="Y14" s="4">
        <f>SUM(Table1[[#This Row],[ZONE1_DISTANCE]:[ZONE3_DISTANCE]])</f>
        <v>13006.5</v>
      </c>
      <c r="Z14" s="4">
        <f>Table1[[#This Row],[ZONE1_DISTANCE]]/Table1[[#This Row],[TOTAL_DISTANCE]]</f>
        <v>1.2801291661861378E-2</v>
      </c>
    </row>
    <row r="15" spans="1:26" ht="21">
      <c r="A15" s="4">
        <v>89</v>
      </c>
      <c r="B15" s="4">
        <v>2</v>
      </c>
      <c r="C15" s="5">
        <v>15.04</v>
      </c>
      <c r="D15" s="4">
        <v>2</v>
      </c>
      <c r="E15" s="4">
        <v>139</v>
      </c>
      <c r="F15" s="4" t="s">
        <v>13</v>
      </c>
      <c r="G15" s="5" t="s">
        <v>80</v>
      </c>
      <c r="H15" s="4" t="s">
        <v>1</v>
      </c>
      <c r="I15" s="10"/>
      <c r="J15" s="4" t="s">
        <v>18</v>
      </c>
      <c r="K15" s="22" t="s">
        <v>69</v>
      </c>
      <c r="L15" s="6">
        <v>45154</v>
      </c>
      <c r="M15">
        <v>49.8</v>
      </c>
      <c r="N15">
        <v>1730.6</v>
      </c>
      <c r="O15">
        <v>16082.8</v>
      </c>
      <c r="P15">
        <v>0.93300000000000005</v>
      </c>
      <c r="Q15">
        <v>44.128</v>
      </c>
      <c r="R15">
        <v>555.18100000000004</v>
      </c>
      <c r="S15">
        <v>2</v>
      </c>
      <c r="T15">
        <v>25</v>
      </c>
      <c r="U15">
        <v>23</v>
      </c>
      <c r="V15">
        <v>496.50599999999997</v>
      </c>
      <c r="W15" s="4"/>
      <c r="X15" s="4" t="s">
        <v>18</v>
      </c>
      <c r="Y15" s="4">
        <f>SUM(Table1[[#This Row],[ZONE1_DISTANCE]:[ZONE3_DISTANCE]])</f>
        <v>17863.2</v>
      </c>
      <c r="Z15" s="4">
        <f>Table1[[#This Row],[ZONE1_DISTANCE]]/Table1[[#This Row],[TOTAL_DISTANCE]]</f>
        <v>2.7878543598011552E-3</v>
      </c>
    </row>
    <row r="16" spans="1:26" ht="21">
      <c r="A16" s="4">
        <v>21</v>
      </c>
      <c r="B16" s="4">
        <v>1</v>
      </c>
      <c r="C16" s="5">
        <v>13.35</v>
      </c>
      <c r="D16" s="4">
        <v>1</v>
      </c>
      <c r="E16" s="4">
        <v>139</v>
      </c>
      <c r="F16" s="4" t="s">
        <v>13</v>
      </c>
      <c r="G16" s="5" t="s">
        <v>79</v>
      </c>
      <c r="H16" s="4" t="s">
        <v>1</v>
      </c>
      <c r="I16" s="9" t="s">
        <v>30</v>
      </c>
      <c r="J16" s="4" t="s">
        <v>18</v>
      </c>
      <c r="K16" s="22" t="s">
        <v>52</v>
      </c>
      <c r="L16" s="6">
        <v>45153</v>
      </c>
      <c r="M16">
        <v>131.1</v>
      </c>
      <c r="N16">
        <v>3375.6</v>
      </c>
      <c r="O16">
        <v>16402.400000000001</v>
      </c>
      <c r="P16">
        <v>2.8690000000000002</v>
      </c>
      <c r="Q16">
        <v>85.522000000000006</v>
      </c>
      <c r="R16">
        <v>512.83299999999997</v>
      </c>
      <c r="S16">
        <v>4</v>
      </c>
      <c r="T16">
        <v>39</v>
      </c>
      <c r="U16">
        <v>35</v>
      </c>
      <c r="V16">
        <v>206.333</v>
      </c>
      <c r="W16" s="4"/>
      <c r="X16" s="4" t="s">
        <v>18</v>
      </c>
      <c r="Y16" s="4">
        <f>SUM(Table1[[#This Row],[ZONE1_DISTANCE]:[ZONE3_DISTANCE]])</f>
        <v>19909.100000000002</v>
      </c>
      <c r="Z16" s="4">
        <f>Table1[[#This Row],[ZONE1_DISTANCE]]/Table1[[#This Row],[TOTAL_DISTANCE]]</f>
        <v>6.5849285000326475E-3</v>
      </c>
    </row>
    <row r="17" spans="1:26" ht="21">
      <c r="A17" s="4">
        <v>12</v>
      </c>
      <c r="B17" s="4">
        <v>1</v>
      </c>
      <c r="C17" s="5">
        <v>12.08</v>
      </c>
      <c r="D17" s="4">
        <v>2</v>
      </c>
      <c r="E17" s="4">
        <v>148</v>
      </c>
      <c r="F17" s="4" t="s">
        <v>14</v>
      </c>
      <c r="G17" s="5" t="s">
        <v>79</v>
      </c>
      <c r="H17" s="4" t="s">
        <v>1</v>
      </c>
      <c r="I17" s="9" t="s">
        <v>29</v>
      </c>
      <c r="J17" s="4" t="s">
        <v>19</v>
      </c>
      <c r="K17" s="22" t="s">
        <v>47</v>
      </c>
      <c r="L17" s="6">
        <v>45153</v>
      </c>
      <c r="M17">
        <v>350.3</v>
      </c>
      <c r="N17">
        <v>3057.5</v>
      </c>
      <c r="O17">
        <v>14988.3</v>
      </c>
      <c r="P17">
        <v>11.4</v>
      </c>
      <c r="Q17">
        <v>82.716999999999999</v>
      </c>
      <c r="R17">
        <v>507.07299999999998</v>
      </c>
      <c r="S17">
        <v>5</v>
      </c>
      <c r="T17">
        <v>36</v>
      </c>
      <c r="U17">
        <v>32</v>
      </c>
      <c r="V17">
        <v>452.12700000000001</v>
      </c>
      <c r="W17" s="4"/>
      <c r="X17" s="4" t="s">
        <v>18</v>
      </c>
      <c r="Y17" s="4">
        <f>SUM(Table1[[#This Row],[ZONE1_DISTANCE]:[ZONE3_DISTANCE]])</f>
        <v>18396.099999999999</v>
      </c>
      <c r="Z17" s="4">
        <f>Table1[[#This Row],[ZONE1_DISTANCE]]/Table1[[#This Row],[TOTAL_DISTANCE]]</f>
        <v>1.9042079571213465E-2</v>
      </c>
    </row>
    <row r="18" spans="1:26" ht="21">
      <c r="A18" s="4">
        <v>28</v>
      </c>
      <c r="B18" s="4">
        <v>1</v>
      </c>
      <c r="C18" s="5">
        <v>14.37</v>
      </c>
      <c r="D18" s="4">
        <v>2</v>
      </c>
      <c r="E18" s="4">
        <v>148</v>
      </c>
      <c r="F18" s="4" t="s">
        <v>14</v>
      </c>
      <c r="G18" s="5" t="s">
        <v>80</v>
      </c>
      <c r="H18" s="4" t="s">
        <v>1</v>
      </c>
      <c r="I18" s="9"/>
      <c r="J18" s="4" t="s">
        <v>18</v>
      </c>
      <c r="K18" s="22" t="s">
        <v>15</v>
      </c>
      <c r="L18" s="6">
        <v>45153</v>
      </c>
      <c r="M18">
        <v>654.1</v>
      </c>
      <c r="N18">
        <v>574.29999999999995</v>
      </c>
      <c r="O18">
        <v>22135.200000000001</v>
      </c>
      <c r="P18">
        <v>7.4039999999999999</v>
      </c>
      <c r="Q18">
        <v>4.9960000000000004</v>
      </c>
      <c r="R18">
        <v>588.84299999999996</v>
      </c>
      <c r="S18">
        <v>5</v>
      </c>
      <c r="T18">
        <v>8</v>
      </c>
      <c r="U18">
        <v>4</v>
      </c>
      <c r="V18">
        <v>10.676</v>
      </c>
      <c r="W18" s="4"/>
      <c r="X18" s="4" t="s">
        <v>18</v>
      </c>
      <c r="Y18" s="4">
        <f>SUM(Table1[[#This Row],[ZONE1_DISTANCE]:[ZONE3_DISTANCE]])</f>
        <v>23363.600000000002</v>
      </c>
      <c r="Z18" s="4">
        <f>Table1[[#This Row],[ZONE1_DISTANCE]]/Table1[[#This Row],[TOTAL_DISTANCE]]</f>
        <v>2.7996541628858566E-2</v>
      </c>
    </row>
    <row r="19" spans="1:26" ht="21">
      <c r="A19" s="4">
        <v>42</v>
      </c>
      <c r="B19" s="4">
        <v>1</v>
      </c>
      <c r="C19" s="5">
        <v>15.54</v>
      </c>
      <c r="D19" s="4">
        <v>4</v>
      </c>
      <c r="E19" s="4">
        <v>139</v>
      </c>
      <c r="F19" s="4" t="s">
        <v>14</v>
      </c>
      <c r="G19" s="5" t="s">
        <v>80</v>
      </c>
      <c r="H19" s="4" t="s">
        <v>1</v>
      </c>
      <c r="I19" s="9" t="s">
        <v>29</v>
      </c>
      <c r="J19" s="4" t="s">
        <v>1</v>
      </c>
      <c r="K19" s="22" t="s">
        <v>74</v>
      </c>
      <c r="L19" s="6">
        <v>45153</v>
      </c>
      <c r="M19">
        <v>276.5</v>
      </c>
      <c r="N19">
        <v>8044.5</v>
      </c>
      <c r="O19">
        <v>9133.9</v>
      </c>
      <c r="P19">
        <v>7.335</v>
      </c>
      <c r="Q19">
        <v>273.13600000000002</v>
      </c>
      <c r="R19">
        <v>320.77999999999997</v>
      </c>
      <c r="S19">
        <v>5</v>
      </c>
      <c r="T19">
        <v>80</v>
      </c>
      <c r="U19">
        <v>74</v>
      </c>
      <c r="V19">
        <v>307.26600000000002</v>
      </c>
      <c r="W19" s="4"/>
      <c r="X19" s="4" t="s">
        <v>18</v>
      </c>
      <c r="Y19" s="4">
        <f>SUM(Table1[[#This Row],[ZONE1_DISTANCE]:[ZONE3_DISTANCE]])</f>
        <v>17454.900000000001</v>
      </c>
      <c r="Z19" s="4">
        <f>Table1[[#This Row],[ZONE1_DISTANCE]]/Table1[[#This Row],[TOTAL_DISTANCE]]</f>
        <v>1.584082406659448E-2</v>
      </c>
    </row>
    <row r="20" spans="1:26" ht="21">
      <c r="A20" s="4">
        <v>3</v>
      </c>
      <c r="B20" s="4">
        <v>1</v>
      </c>
      <c r="C20" s="5">
        <v>11.28</v>
      </c>
      <c r="D20" s="4">
        <v>3</v>
      </c>
      <c r="E20" s="4">
        <v>148</v>
      </c>
      <c r="F20" s="4" t="s">
        <v>14</v>
      </c>
      <c r="G20" s="5" t="s">
        <v>78</v>
      </c>
      <c r="H20" s="4" t="s">
        <v>2</v>
      </c>
      <c r="I20" s="10" t="s">
        <v>30</v>
      </c>
      <c r="J20" s="4" t="s">
        <v>18</v>
      </c>
      <c r="K20" s="22"/>
      <c r="L20" s="6">
        <v>45153</v>
      </c>
      <c r="M20">
        <v>164.3</v>
      </c>
      <c r="N20">
        <v>1625.9</v>
      </c>
      <c r="O20">
        <v>11755.6</v>
      </c>
      <c r="P20">
        <v>5.13</v>
      </c>
      <c r="Q20">
        <v>48.478000000000002</v>
      </c>
      <c r="R20">
        <v>547.53300000000002</v>
      </c>
      <c r="S20">
        <v>6</v>
      </c>
      <c r="T20">
        <v>25</v>
      </c>
      <c r="U20">
        <v>20</v>
      </c>
      <c r="V20">
        <v>139.94499999999999</v>
      </c>
      <c r="W20" s="4"/>
      <c r="X20" s="4" t="s">
        <v>18</v>
      </c>
      <c r="Y20" s="4">
        <f>SUM(Table1[[#This Row],[ZONE1_DISTANCE]:[ZONE3_DISTANCE]])</f>
        <v>13545.800000000001</v>
      </c>
      <c r="Z20" s="4">
        <f>Table1[[#This Row],[ZONE1_DISTANCE]]/Table1[[#This Row],[TOTAL_DISTANCE]]</f>
        <v>1.2129220865508128E-2</v>
      </c>
    </row>
    <row r="21" spans="1:26" ht="21">
      <c r="A21" s="4">
        <v>17</v>
      </c>
      <c r="B21" s="4">
        <v>1</v>
      </c>
      <c r="C21" s="5">
        <v>13.03</v>
      </c>
      <c r="D21" s="4">
        <v>1</v>
      </c>
      <c r="E21" s="4">
        <v>139</v>
      </c>
      <c r="F21" s="4" t="s">
        <v>13</v>
      </c>
      <c r="G21" s="5" t="s">
        <v>79</v>
      </c>
      <c r="H21" s="4" t="s">
        <v>2</v>
      </c>
      <c r="I21" s="9" t="s">
        <v>30</v>
      </c>
      <c r="J21" s="4" t="s">
        <v>18</v>
      </c>
      <c r="K21" s="22" t="s">
        <v>49</v>
      </c>
      <c r="L21" s="6">
        <v>45153</v>
      </c>
      <c r="M21">
        <v>449.9</v>
      </c>
      <c r="N21">
        <v>2558.5</v>
      </c>
      <c r="O21">
        <v>17973.2</v>
      </c>
      <c r="P21">
        <v>11.599</v>
      </c>
      <c r="Q21">
        <v>58.72</v>
      </c>
      <c r="R21">
        <v>530.91399999999999</v>
      </c>
      <c r="S21">
        <v>6</v>
      </c>
      <c r="T21">
        <v>26</v>
      </c>
      <c r="U21">
        <v>20</v>
      </c>
      <c r="V21">
        <v>471.54199999999997</v>
      </c>
      <c r="W21" s="4"/>
      <c r="X21" s="4" t="s">
        <v>18</v>
      </c>
      <c r="Y21" s="4">
        <f>SUM(Table1[[#This Row],[ZONE1_DISTANCE]:[ZONE3_DISTANCE]])</f>
        <v>20981.600000000002</v>
      </c>
      <c r="Z21" s="4">
        <f>Table1[[#This Row],[ZONE1_DISTANCE]]/Table1[[#This Row],[TOTAL_DISTANCE]]</f>
        <v>2.1442597323369044E-2</v>
      </c>
    </row>
    <row r="22" spans="1:26" ht="21">
      <c r="A22" s="4">
        <v>76</v>
      </c>
      <c r="B22" s="4">
        <v>2</v>
      </c>
      <c r="C22" s="5">
        <v>13.4</v>
      </c>
      <c r="D22" s="4">
        <v>2</v>
      </c>
      <c r="E22" s="4">
        <v>148</v>
      </c>
      <c r="F22" s="4" t="s">
        <v>14</v>
      </c>
      <c r="G22" s="5" t="s">
        <v>79</v>
      </c>
      <c r="H22" s="4" t="s">
        <v>1</v>
      </c>
      <c r="I22" s="10" t="s">
        <v>29</v>
      </c>
      <c r="J22" s="4" t="s">
        <v>18</v>
      </c>
      <c r="K22" s="22"/>
      <c r="L22" s="6">
        <v>45154</v>
      </c>
      <c r="M22">
        <v>193.8</v>
      </c>
      <c r="N22">
        <v>2711.2</v>
      </c>
      <c r="O22">
        <v>19353.2</v>
      </c>
      <c r="P22">
        <v>3.141</v>
      </c>
      <c r="Q22">
        <v>39.887999999999998</v>
      </c>
      <c r="R22">
        <v>557.21900000000005</v>
      </c>
      <c r="S22">
        <v>6</v>
      </c>
      <c r="T22">
        <v>34</v>
      </c>
      <c r="U22">
        <v>29</v>
      </c>
      <c r="V22">
        <v>140.714</v>
      </c>
      <c r="W22" s="4"/>
      <c r="X22" s="4" t="s">
        <v>18</v>
      </c>
      <c r="Y22" s="4">
        <f>SUM(Table1[[#This Row],[ZONE1_DISTANCE]:[ZONE3_DISTANCE]])</f>
        <v>22258.2</v>
      </c>
      <c r="Z22" s="4">
        <f>Table1[[#This Row],[ZONE1_DISTANCE]]/Table1[[#This Row],[TOTAL_DISTANCE]]</f>
        <v>8.7069035231959468E-3</v>
      </c>
    </row>
    <row r="23" spans="1:26" ht="21">
      <c r="A23" s="4">
        <v>29</v>
      </c>
      <c r="B23" s="4">
        <v>1</v>
      </c>
      <c r="C23" s="5">
        <v>14.57</v>
      </c>
      <c r="D23" s="4">
        <v>3</v>
      </c>
      <c r="E23" s="4">
        <v>139</v>
      </c>
      <c r="F23" s="4" t="s">
        <v>13</v>
      </c>
      <c r="G23" s="5" t="s">
        <v>80</v>
      </c>
      <c r="H23" s="4" t="s">
        <v>1</v>
      </c>
      <c r="I23" s="10" t="s">
        <v>30</v>
      </c>
      <c r="J23" s="4" t="s">
        <v>18</v>
      </c>
      <c r="K23" s="22"/>
      <c r="L23" s="6">
        <v>45153</v>
      </c>
      <c r="M23">
        <v>644.20000000000005</v>
      </c>
      <c r="N23">
        <v>4803</v>
      </c>
      <c r="O23">
        <v>12509.8</v>
      </c>
      <c r="P23">
        <v>17.588999999999999</v>
      </c>
      <c r="Q23">
        <v>130.93700000000001</v>
      </c>
      <c r="R23">
        <v>452.70499999999998</v>
      </c>
      <c r="S23">
        <v>7</v>
      </c>
      <c r="T23">
        <v>34</v>
      </c>
      <c r="U23">
        <v>29</v>
      </c>
      <c r="V23">
        <v>212.15299999999999</v>
      </c>
      <c r="W23" s="4"/>
      <c r="X23" s="4" t="s">
        <v>18</v>
      </c>
      <c r="Y23" s="4">
        <f>SUM(Table1[[#This Row],[ZONE1_DISTANCE]:[ZONE3_DISTANCE]])</f>
        <v>17957</v>
      </c>
      <c r="Z23" s="4">
        <f>Table1[[#This Row],[ZONE1_DISTANCE]]/Table1[[#This Row],[TOTAL_DISTANCE]]</f>
        <v>3.5874589296653117E-2</v>
      </c>
    </row>
    <row r="24" spans="1:26" ht="21">
      <c r="A24" s="4">
        <v>40</v>
      </c>
      <c r="B24" s="4">
        <v>1</v>
      </c>
      <c r="C24" s="5">
        <v>15.42</v>
      </c>
      <c r="D24" s="4">
        <v>4</v>
      </c>
      <c r="E24" s="4">
        <v>148</v>
      </c>
      <c r="F24" s="4" t="s">
        <v>14</v>
      </c>
      <c r="G24" s="5" t="s">
        <v>80</v>
      </c>
      <c r="H24" s="4" t="s">
        <v>1</v>
      </c>
      <c r="I24" s="10"/>
      <c r="J24" s="4" t="s">
        <v>1</v>
      </c>
      <c r="K24" s="22" t="s">
        <v>57</v>
      </c>
      <c r="L24" s="6">
        <v>45153</v>
      </c>
      <c r="M24">
        <v>435.3</v>
      </c>
      <c r="N24">
        <v>4125.5</v>
      </c>
      <c r="O24">
        <v>14561.6</v>
      </c>
      <c r="P24">
        <v>6.0679999999999996</v>
      </c>
      <c r="Q24">
        <v>119.465</v>
      </c>
      <c r="R24">
        <v>475.65499999999997</v>
      </c>
      <c r="S24">
        <v>7</v>
      </c>
      <c r="T24">
        <v>37</v>
      </c>
      <c r="U24">
        <v>31</v>
      </c>
      <c r="V24">
        <v>274.14299999999997</v>
      </c>
      <c r="W24" s="4"/>
      <c r="X24" s="4" t="s">
        <v>18</v>
      </c>
      <c r="Y24" s="4">
        <f>SUM(Table1[[#This Row],[ZONE1_DISTANCE]:[ZONE3_DISTANCE]])</f>
        <v>19122.400000000001</v>
      </c>
      <c r="Z24" s="4">
        <f>Table1[[#This Row],[ZONE1_DISTANCE]]/Table1[[#This Row],[TOTAL_DISTANCE]]</f>
        <v>2.2763879011002804E-2</v>
      </c>
    </row>
    <row r="25" spans="1:26" ht="21">
      <c r="A25" s="4">
        <v>51</v>
      </c>
      <c r="B25" s="4">
        <v>2</v>
      </c>
      <c r="C25" s="5">
        <v>11.15</v>
      </c>
      <c r="D25" s="4">
        <v>3</v>
      </c>
      <c r="E25" s="4">
        <v>148</v>
      </c>
      <c r="F25" s="4" t="s">
        <v>13</v>
      </c>
      <c r="G25" s="5" t="s">
        <v>78</v>
      </c>
      <c r="H25" s="4" t="s">
        <v>2</v>
      </c>
      <c r="I25" s="9" t="s">
        <v>29</v>
      </c>
      <c r="J25" s="4" t="s">
        <v>18</v>
      </c>
      <c r="K25" s="22" t="s">
        <v>61</v>
      </c>
      <c r="L25" s="6">
        <v>45154</v>
      </c>
      <c r="M25">
        <v>207.7</v>
      </c>
      <c r="N25">
        <v>9519.7999999999993</v>
      </c>
      <c r="O25">
        <v>14269.1</v>
      </c>
      <c r="P25">
        <v>4.5359999999999996</v>
      </c>
      <c r="Q25">
        <v>205.369</v>
      </c>
      <c r="R25">
        <v>390.33100000000002</v>
      </c>
      <c r="S25">
        <v>7</v>
      </c>
      <c r="T25">
        <v>68</v>
      </c>
      <c r="U25">
        <v>61</v>
      </c>
      <c r="V25">
        <v>153.65100000000001</v>
      </c>
      <c r="W25" s="4"/>
      <c r="X25" s="4" t="s">
        <v>18</v>
      </c>
      <c r="Y25" s="4">
        <f>SUM(Table1[[#This Row],[ZONE1_DISTANCE]:[ZONE3_DISTANCE]])</f>
        <v>23996.6</v>
      </c>
      <c r="Z25" s="4">
        <f>Table1[[#This Row],[ZONE1_DISTANCE]]/Table1[[#This Row],[TOTAL_DISTANCE]]</f>
        <v>8.6553928473200367E-3</v>
      </c>
    </row>
    <row r="26" spans="1:26" ht="21">
      <c r="A26" s="4">
        <v>74</v>
      </c>
      <c r="B26" s="4">
        <v>2</v>
      </c>
      <c r="C26" s="5">
        <v>13.35</v>
      </c>
      <c r="D26" s="4">
        <v>4</v>
      </c>
      <c r="E26" s="4">
        <v>139</v>
      </c>
      <c r="F26" s="4" t="s">
        <v>14</v>
      </c>
      <c r="G26" s="5" t="s">
        <v>79</v>
      </c>
      <c r="H26" s="4" t="s">
        <v>1</v>
      </c>
      <c r="I26" s="10" t="s">
        <v>29</v>
      </c>
      <c r="J26" s="4" t="s">
        <v>18</v>
      </c>
      <c r="K26" s="22" t="s">
        <v>65</v>
      </c>
      <c r="L26" s="6">
        <v>45154</v>
      </c>
      <c r="M26">
        <v>659.8</v>
      </c>
      <c r="N26">
        <v>2164.3000000000002</v>
      </c>
      <c r="O26">
        <v>16862.599999999999</v>
      </c>
      <c r="P26">
        <v>17.068000000000001</v>
      </c>
      <c r="Q26">
        <v>51.459000000000003</v>
      </c>
      <c r="R26">
        <v>531.71500000000003</v>
      </c>
      <c r="S26">
        <v>7</v>
      </c>
      <c r="T26">
        <v>23</v>
      </c>
      <c r="U26">
        <v>17</v>
      </c>
      <c r="V26">
        <v>518.221</v>
      </c>
      <c r="W26" s="4"/>
      <c r="X26" s="4" t="s">
        <v>18</v>
      </c>
      <c r="Y26" s="4">
        <f>SUM(Table1[[#This Row],[ZONE1_DISTANCE]:[ZONE3_DISTANCE]])</f>
        <v>19686.699999999997</v>
      </c>
      <c r="Z26" s="4">
        <f>Table1[[#This Row],[ZONE1_DISTANCE]]/Table1[[#This Row],[TOTAL_DISTANCE]]</f>
        <v>3.3515012673530867E-2</v>
      </c>
    </row>
    <row r="27" spans="1:26" ht="21">
      <c r="A27" s="4">
        <v>6</v>
      </c>
      <c r="B27" s="4">
        <v>1</v>
      </c>
      <c r="C27" s="5">
        <v>11.42</v>
      </c>
      <c r="D27" s="4">
        <v>2</v>
      </c>
      <c r="E27" s="4">
        <v>139</v>
      </c>
      <c r="F27" s="4" t="s">
        <v>13</v>
      </c>
      <c r="G27" s="5" t="s">
        <v>78</v>
      </c>
      <c r="H27" s="4" t="s">
        <v>1</v>
      </c>
      <c r="I27" s="10" t="s">
        <v>29</v>
      </c>
      <c r="J27" s="4" t="s">
        <v>18</v>
      </c>
      <c r="K27" s="22"/>
      <c r="L27" s="6">
        <v>45153</v>
      </c>
      <c r="M27">
        <v>779.5</v>
      </c>
      <c r="N27">
        <v>3471.7</v>
      </c>
      <c r="O27">
        <v>13608.4</v>
      </c>
      <c r="P27">
        <v>15.602</v>
      </c>
      <c r="Q27">
        <v>87.453000000000003</v>
      </c>
      <c r="R27">
        <v>498.22800000000001</v>
      </c>
      <c r="S27">
        <v>8</v>
      </c>
      <c r="T27">
        <v>39</v>
      </c>
      <c r="U27">
        <v>32</v>
      </c>
      <c r="V27">
        <v>168.05500000000001</v>
      </c>
      <c r="W27" s="4"/>
      <c r="X27" s="4" t="s">
        <v>18</v>
      </c>
      <c r="Y27" s="4">
        <f>SUM(Table1[[#This Row],[ZONE1_DISTANCE]:[ZONE3_DISTANCE]])</f>
        <v>17859.599999999999</v>
      </c>
      <c r="Z27" s="4">
        <f>Table1[[#This Row],[ZONE1_DISTANCE]]/Table1[[#This Row],[TOTAL_DISTANCE]]</f>
        <v>4.3645994311182781E-2</v>
      </c>
    </row>
    <row r="28" spans="1:26" ht="21">
      <c r="A28" s="4">
        <v>22</v>
      </c>
      <c r="B28" s="4">
        <v>1</v>
      </c>
      <c r="C28" s="5">
        <v>13.35</v>
      </c>
      <c r="D28" s="4">
        <v>2</v>
      </c>
      <c r="E28" s="4">
        <v>139</v>
      </c>
      <c r="F28" s="4" t="s">
        <v>14</v>
      </c>
      <c r="G28" s="5" t="s">
        <v>79</v>
      </c>
      <c r="H28" s="4" t="s">
        <v>1</v>
      </c>
      <c r="I28" s="10" t="s">
        <v>30</v>
      </c>
      <c r="J28" s="4" t="s">
        <v>18</v>
      </c>
      <c r="K28" s="22" t="s">
        <v>52</v>
      </c>
      <c r="L28" s="6">
        <v>45153</v>
      </c>
      <c r="M28">
        <v>810.4</v>
      </c>
      <c r="N28">
        <v>7362.7</v>
      </c>
      <c r="O28">
        <v>14705.8</v>
      </c>
      <c r="P28">
        <v>15.801</v>
      </c>
      <c r="Q28">
        <v>187.523</v>
      </c>
      <c r="R28">
        <v>397.9</v>
      </c>
      <c r="S28">
        <v>9</v>
      </c>
      <c r="T28">
        <v>76</v>
      </c>
      <c r="U28">
        <v>67</v>
      </c>
      <c r="V28">
        <v>374.67700000000002</v>
      </c>
      <c r="W28" s="4"/>
      <c r="X28" s="4" t="s">
        <v>18</v>
      </c>
      <c r="Y28" s="4">
        <f>SUM(Table1[[#This Row],[ZONE1_DISTANCE]:[ZONE3_DISTANCE]])</f>
        <v>22878.899999999998</v>
      </c>
      <c r="Z28" s="4">
        <f>Table1[[#This Row],[ZONE1_DISTANCE]]/Table1[[#This Row],[TOTAL_DISTANCE]]</f>
        <v>3.5421283365896089E-2</v>
      </c>
    </row>
    <row r="29" spans="1:26" ht="21">
      <c r="A29" s="4">
        <v>32</v>
      </c>
      <c r="B29" s="4">
        <v>1</v>
      </c>
      <c r="C29" s="5">
        <v>15.03</v>
      </c>
      <c r="D29" s="4">
        <v>2</v>
      </c>
      <c r="E29" s="4">
        <v>148</v>
      </c>
      <c r="F29" s="4" t="s">
        <v>14</v>
      </c>
      <c r="G29" s="5" t="s">
        <v>80</v>
      </c>
      <c r="H29" s="4" t="s">
        <v>1</v>
      </c>
      <c r="I29" s="10" t="s">
        <v>31</v>
      </c>
      <c r="J29" s="4" t="s">
        <v>18</v>
      </c>
      <c r="K29" s="22"/>
      <c r="L29" s="6">
        <v>45153</v>
      </c>
      <c r="M29">
        <v>1139.5</v>
      </c>
      <c r="N29">
        <v>1990.6</v>
      </c>
      <c r="O29">
        <v>12642.9</v>
      </c>
      <c r="P29">
        <v>24.734999999999999</v>
      </c>
      <c r="Q29">
        <v>45.459000000000003</v>
      </c>
      <c r="R29">
        <v>530.99900000000002</v>
      </c>
      <c r="S29">
        <v>9</v>
      </c>
      <c r="T29">
        <v>18</v>
      </c>
      <c r="U29">
        <v>10</v>
      </c>
      <c r="V29">
        <v>332.33100000000002</v>
      </c>
      <c r="W29" s="4"/>
      <c r="X29" s="4" t="s">
        <v>18</v>
      </c>
      <c r="Y29" s="4">
        <f>SUM(Table1[[#This Row],[ZONE1_DISTANCE]:[ZONE3_DISTANCE]])</f>
        <v>15773</v>
      </c>
      <c r="Z29" s="4">
        <f>Table1[[#This Row],[ZONE1_DISTANCE]]/Table1[[#This Row],[TOTAL_DISTANCE]]</f>
        <v>7.2243707601597665E-2</v>
      </c>
    </row>
    <row r="30" spans="1:26" ht="21">
      <c r="A30" s="4">
        <v>61</v>
      </c>
      <c r="B30" s="4">
        <v>2</v>
      </c>
      <c r="C30" s="5">
        <v>11.57</v>
      </c>
      <c r="D30" s="4">
        <v>3</v>
      </c>
      <c r="E30" s="4">
        <v>139</v>
      </c>
      <c r="F30" s="4" t="s">
        <v>13</v>
      </c>
      <c r="G30" s="5" t="s">
        <v>78</v>
      </c>
      <c r="H30" s="4" t="s">
        <v>1</v>
      </c>
      <c r="I30" s="9" t="s">
        <v>31</v>
      </c>
      <c r="J30" s="4" t="s">
        <v>18</v>
      </c>
      <c r="K30" s="22"/>
      <c r="L30" s="6">
        <v>45154</v>
      </c>
      <c r="M30">
        <v>593.79999999999995</v>
      </c>
      <c r="N30">
        <v>9893.2999999999993</v>
      </c>
      <c r="O30">
        <v>12220.8</v>
      </c>
      <c r="P30">
        <v>6.2670000000000003</v>
      </c>
      <c r="Q30">
        <v>261.43599999999998</v>
      </c>
      <c r="R30">
        <v>332.541</v>
      </c>
      <c r="S30">
        <v>9</v>
      </c>
      <c r="T30">
        <v>94</v>
      </c>
      <c r="U30">
        <v>86</v>
      </c>
      <c r="V30">
        <v>395.86099999999999</v>
      </c>
      <c r="W30" s="4"/>
      <c r="X30" s="4" t="s">
        <v>18</v>
      </c>
      <c r="Y30" s="4">
        <f>SUM(Table1[[#This Row],[ZONE1_DISTANCE]:[ZONE3_DISTANCE]])</f>
        <v>22707.899999999998</v>
      </c>
      <c r="Z30" s="4">
        <f>Table1[[#This Row],[ZONE1_DISTANCE]]/Table1[[#This Row],[TOTAL_DISTANCE]]</f>
        <v>2.6149489825126937E-2</v>
      </c>
    </row>
    <row r="31" spans="1:26" ht="21">
      <c r="A31" s="4">
        <v>4</v>
      </c>
      <c r="B31" s="4">
        <v>1</v>
      </c>
      <c r="C31" s="5">
        <v>11.28</v>
      </c>
      <c r="D31" s="4">
        <v>4</v>
      </c>
      <c r="E31" s="4">
        <v>148</v>
      </c>
      <c r="F31" s="4" t="s">
        <v>13</v>
      </c>
      <c r="G31" s="5" t="s">
        <v>78</v>
      </c>
      <c r="H31" s="4" t="s">
        <v>1</v>
      </c>
      <c r="I31" s="9" t="s">
        <v>29</v>
      </c>
      <c r="J31" s="4" t="s">
        <v>18</v>
      </c>
      <c r="K31" s="22"/>
      <c r="L31" s="6">
        <v>45153</v>
      </c>
      <c r="M31">
        <v>419.5</v>
      </c>
      <c r="N31">
        <v>6808.6</v>
      </c>
      <c r="O31">
        <v>12726.6</v>
      </c>
      <c r="P31">
        <v>10.475</v>
      </c>
      <c r="Q31">
        <v>191.72300000000001</v>
      </c>
      <c r="R31">
        <v>398.94299999999998</v>
      </c>
      <c r="S31">
        <v>11</v>
      </c>
      <c r="T31">
        <v>62</v>
      </c>
      <c r="U31">
        <v>52</v>
      </c>
      <c r="V31">
        <v>343.34</v>
      </c>
      <c r="W31" s="4"/>
      <c r="X31" s="4" t="s">
        <v>18</v>
      </c>
      <c r="Y31" s="4">
        <f>SUM(Table1[[#This Row],[ZONE1_DISTANCE]:[ZONE3_DISTANCE]])</f>
        <v>19954.7</v>
      </c>
      <c r="Z31" s="4">
        <f>Table1[[#This Row],[ZONE1_DISTANCE]]/Table1[[#This Row],[TOTAL_DISTANCE]]</f>
        <v>2.1022616225751325E-2</v>
      </c>
    </row>
    <row r="32" spans="1:26" ht="21">
      <c r="A32" s="4">
        <v>14</v>
      </c>
      <c r="B32" s="4">
        <v>1</v>
      </c>
      <c r="C32" s="5">
        <v>12.39</v>
      </c>
      <c r="D32" s="4">
        <v>4</v>
      </c>
      <c r="E32" s="4">
        <v>139</v>
      </c>
      <c r="F32" s="4" t="s">
        <v>14</v>
      </c>
      <c r="G32" s="5" t="s">
        <v>79</v>
      </c>
      <c r="H32" s="4" t="s">
        <v>1</v>
      </c>
      <c r="I32" s="9" t="s">
        <v>30</v>
      </c>
      <c r="J32" s="4" t="s">
        <v>18</v>
      </c>
      <c r="K32" s="22"/>
      <c r="L32" s="6">
        <v>45153</v>
      </c>
      <c r="M32">
        <v>1153.4000000000001</v>
      </c>
      <c r="N32">
        <v>4205.6000000000004</v>
      </c>
      <c r="O32">
        <v>14641.2</v>
      </c>
      <c r="P32">
        <v>22.338999999999999</v>
      </c>
      <c r="Q32">
        <v>99.748999999999995</v>
      </c>
      <c r="R32">
        <v>479.06200000000001</v>
      </c>
      <c r="S32">
        <v>11</v>
      </c>
      <c r="T32">
        <v>38</v>
      </c>
      <c r="U32">
        <v>27</v>
      </c>
      <c r="V32">
        <v>293.23899999999998</v>
      </c>
      <c r="W32" s="4"/>
      <c r="X32" s="4" t="s">
        <v>18</v>
      </c>
      <c r="Y32" s="4">
        <f>SUM(Table1[[#This Row],[ZONE1_DISTANCE]:[ZONE3_DISTANCE]])</f>
        <v>20000.2</v>
      </c>
      <c r="Z32" s="4">
        <f>Table1[[#This Row],[ZONE1_DISTANCE]]/Table1[[#This Row],[TOTAL_DISTANCE]]</f>
        <v>5.7669423305766944E-2</v>
      </c>
    </row>
    <row r="33" spans="1:26" ht="21">
      <c r="A33" s="4">
        <v>9</v>
      </c>
      <c r="B33" s="4">
        <v>1</v>
      </c>
      <c r="C33" s="5">
        <v>12.02</v>
      </c>
      <c r="D33" s="4">
        <v>3</v>
      </c>
      <c r="E33" s="4">
        <v>139</v>
      </c>
      <c r="F33" s="4" t="s">
        <v>13</v>
      </c>
      <c r="G33" s="5" t="s">
        <v>79</v>
      </c>
      <c r="H33" s="4" t="s">
        <v>1</v>
      </c>
      <c r="I33" s="9" t="s">
        <v>30</v>
      </c>
      <c r="J33" s="4" t="s">
        <v>18</v>
      </c>
      <c r="K33" s="22" t="s">
        <v>45</v>
      </c>
      <c r="L33" s="6">
        <v>45153</v>
      </c>
      <c r="M33">
        <v>808.2</v>
      </c>
      <c r="N33">
        <v>5900.8</v>
      </c>
      <c r="O33">
        <v>13612.3</v>
      </c>
      <c r="P33">
        <v>17.466000000000001</v>
      </c>
      <c r="Q33">
        <v>158.99299999999999</v>
      </c>
      <c r="R33">
        <v>424.88799999999998</v>
      </c>
      <c r="S33">
        <v>12</v>
      </c>
      <c r="T33">
        <v>50</v>
      </c>
      <c r="U33">
        <v>37</v>
      </c>
      <c r="V33">
        <v>13.519</v>
      </c>
      <c r="W33" s="4"/>
      <c r="X33" s="4" t="s">
        <v>18</v>
      </c>
      <c r="Y33" s="4">
        <f>SUM(Table1[[#This Row],[ZONE1_DISTANCE]:[ZONE3_DISTANCE]])</f>
        <v>20321.3</v>
      </c>
      <c r="Z33" s="4">
        <f>Table1[[#This Row],[ZONE1_DISTANCE]]/Table1[[#This Row],[TOTAL_DISTANCE]]</f>
        <v>3.9771077637749556E-2</v>
      </c>
    </row>
    <row r="34" spans="1:26" ht="21">
      <c r="A34" s="4">
        <v>23</v>
      </c>
      <c r="B34" s="4">
        <v>1</v>
      </c>
      <c r="C34" s="5">
        <v>13.41</v>
      </c>
      <c r="D34" s="4">
        <v>3</v>
      </c>
      <c r="E34" s="4">
        <v>148</v>
      </c>
      <c r="F34" s="4" t="s">
        <v>13</v>
      </c>
      <c r="G34" s="5" t="s">
        <v>79</v>
      </c>
      <c r="H34" s="4" t="s">
        <v>1</v>
      </c>
      <c r="I34" s="10"/>
      <c r="J34" s="4" t="s">
        <v>18</v>
      </c>
      <c r="K34" s="22" t="s">
        <v>53</v>
      </c>
      <c r="L34" s="6">
        <v>45153</v>
      </c>
      <c r="M34">
        <v>815.6</v>
      </c>
      <c r="N34">
        <v>4220.3</v>
      </c>
      <c r="O34">
        <v>17528.2</v>
      </c>
      <c r="P34">
        <v>17.001999999999999</v>
      </c>
      <c r="Q34">
        <v>83.644000000000005</v>
      </c>
      <c r="R34">
        <v>500.50799999999998</v>
      </c>
      <c r="S34">
        <v>12</v>
      </c>
      <c r="T34">
        <v>39</v>
      </c>
      <c r="U34">
        <v>27</v>
      </c>
      <c r="V34">
        <v>228.97900000000001</v>
      </c>
      <c r="W34" s="4"/>
      <c r="X34" s="4" t="s">
        <v>18</v>
      </c>
      <c r="Y34" s="4">
        <f>SUM(Table1[[#This Row],[ZONE1_DISTANCE]:[ZONE3_DISTANCE]])</f>
        <v>22564.100000000002</v>
      </c>
      <c r="Z34" s="4">
        <f>Table1[[#This Row],[ZONE1_DISTANCE]]/Table1[[#This Row],[TOTAL_DISTANCE]]</f>
        <v>3.6145913198399222E-2</v>
      </c>
    </row>
    <row r="35" spans="1:26" ht="21">
      <c r="A35" s="4">
        <v>7</v>
      </c>
      <c r="B35" s="4">
        <v>1</v>
      </c>
      <c r="C35" s="5">
        <v>11.48</v>
      </c>
      <c r="D35" s="4">
        <v>3</v>
      </c>
      <c r="E35" s="4">
        <v>148</v>
      </c>
      <c r="F35" s="4" t="s">
        <v>14</v>
      </c>
      <c r="G35" s="5" t="s">
        <v>78</v>
      </c>
      <c r="H35" s="4" t="s">
        <v>2</v>
      </c>
      <c r="I35" s="9" t="s">
        <v>29</v>
      </c>
      <c r="J35" s="4" t="s">
        <v>18</v>
      </c>
      <c r="K35" s="22" t="s">
        <v>44</v>
      </c>
      <c r="L35" s="6">
        <v>45153</v>
      </c>
      <c r="M35">
        <v>2357</v>
      </c>
      <c r="N35">
        <v>3754.2</v>
      </c>
      <c r="O35">
        <v>9299.1</v>
      </c>
      <c r="P35">
        <v>75.260000000000005</v>
      </c>
      <c r="Q35">
        <v>107.127</v>
      </c>
      <c r="R35">
        <v>418.78300000000002</v>
      </c>
      <c r="S35">
        <v>15</v>
      </c>
      <c r="T35">
        <v>34</v>
      </c>
      <c r="U35">
        <v>20</v>
      </c>
      <c r="V35">
        <v>161.458</v>
      </c>
      <c r="W35" s="4"/>
      <c r="X35" s="4" t="s">
        <v>18</v>
      </c>
      <c r="Y35" s="4">
        <f>SUM(Table1[[#This Row],[ZONE1_DISTANCE]:[ZONE3_DISTANCE]])</f>
        <v>15410.3</v>
      </c>
      <c r="Z35" s="4">
        <f>Table1[[#This Row],[ZONE1_DISTANCE]]/Table1[[#This Row],[TOTAL_DISTANCE]]</f>
        <v>0.15294965055839277</v>
      </c>
    </row>
    <row r="36" spans="1:26" ht="21">
      <c r="A36" s="4">
        <v>70</v>
      </c>
      <c r="B36" s="4">
        <v>2</v>
      </c>
      <c r="C36" s="5">
        <v>13.16</v>
      </c>
      <c r="D36" s="4">
        <v>2</v>
      </c>
      <c r="E36" s="4">
        <v>139</v>
      </c>
      <c r="F36" s="4" t="s">
        <v>14</v>
      </c>
      <c r="G36" s="5" t="s">
        <v>79</v>
      </c>
      <c r="H36" s="4" t="s">
        <v>2</v>
      </c>
      <c r="I36" s="10" t="s">
        <v>29</v>
      </c>
      <c r="J36" s="4" t="s">
        <v>18</v>
      </c>
      <c r="K36" s="22" t="s">
        <v>64</v>
      </c>
      <c r="L36" s="6">
        <v>45154</v>
      </c>
      <c r="M36">
        <v>1096.0999999999999</v>
      </c>
      <c r="N36">
        <v>5326.7</v>
      </c>
      <c r="O36">
        <v>13751.2</v>
      </c>
      <c r="P36">
        <v>23.457999999999998</v>
      </c>
      <c r="Q36">
        <v>121.191</v>
      </c>
      <c r="R36">
        <v>455.60300000000001</v>
      </c>
      <c r="S36">
        <v>15</v>
      </c>
      <c r="T36">
        <v>46</v>
      </c>
      <c r="U36">
        <v>32</v>
      </c>
      <c r="V36">
        <v>257.83499999999998</v>
      </c>
      <c r="W36" s="4"/>
      <c r="X36" s="4" t="s">
        <v>18</v>
      </c>
      <c r="Y36" s="4">
        <f>SUM(Table1[[#This Row],[ZONE1_DISTANCE]:[ZONE3_DISTANCE]])</f>
        <v>20174</v>
      </c>
      <c r="Z36" s="4">
        <f>Table1[[#This Row],[ZONE1_DISTANCE]]/Table1[[#This Row],[TOTAL_DISTANCE]]</f>
        <v>5.4332308912461581E-2</v>
      </c>
    </row>
    <row r="37" spans="1:26" ht="21">
      <c r="A37" s="4">
        <v>78</v>
      </c>
      <c r="B37" s="4">
        <v>2</v>
      </c>
      <c r="C37" s="5">
        <v>13.56</v>
      </c>
      <c r="D37" s="4">
        <v>4</v>
      </c>
      <c r="E37" s="4">
        <v>139</v>
      </c>
      <c r="F37" s="4" t="s">
        <v>14</v>
      </c>
      <c r="G37" s="5" t="s">
        <v>79</v>
      </c>
      <c r="H37" s="4" t="s">
        <v>1</v>
      </c>
      <c r="I37" s="9" t="s">
        <v>29</v>
      </c>
      <c r="J37" s="4" t="s">
        <v>1</v>
      </c>
      <c r="K37" s="22" t="s">
        <v>16</v>
      </c>
      <c r="L37" s="6">
        <v>45154</v>
      </c>
      <c r="M37">
        <v>1394.8</v>
      </c>
      <c r="N37">
        <v>3042.9</v>
      </c>
      <c r="O37">
        <v>11045.9</v>
      </c>
      <c r="P37">
        <v>35.195999999999998</v>
      </c>
      <c r="Q37">
        <v>82.597999999999999</v>
      </c>
      <c r="R37">
        <v>482.44600000000003</v>
      </c>
      <c r="S37">
        <v>15</v>
      </c>
      <c r="T37">
        <v>43</v>
      </c>
      <c r="U37">
        <v>29</v>
      </c>
      <c r="V37">
        <v>250.75</v>
      </c>
      <c r="W37" s="4"/>
      <c r="X37" s="4" t="s">
        <v>18</v>
      </c>
      <c r="Y37" s="4">
        <f>SUM(Table1[[#This Row],[ZONE1_DISTANCE]:[ZONE3_DISTANCE]])</f>
        <v>15483.599999999999</v>
      </c>
      <c r="Z37" s="4">
        <f>Table1[[#This Row],[ZONE1_DISTANCE]]/Table1[[#This Row],[TOTAL_DISTANCE]]</f>
        <v>9.0082409775504413E-2</v>
      </c>
    </row>
    <row r="38" spans="1:26" ht="21">
      <c r="A38" s="4">
        <v>2</v>
      </c>
      <c r="B38" s="4">
        <v>1</v>
      </c>
      <c r="C38" s="5">
        <v>11.22</v>
      </c>
      <c r="D38" s="4">
        <v>2</v>
      </c>
      <c r="E38" s="4">
        <v>139</v>
      </c>
      <c r="F38" s="4" t="s">
        <v>13</v>
      </c>
      <c r="G38" s="5" t="s">
        <v>78</v>
      </c>
      <c r="H38" s="4" t="s">
        <v>1</v>
      </c>
      <c r="I38" s="9" t="s">
        <v>29</v>
      </c>
      <c r="J38" s="4" t="s">
        <v>18</v>
      </c>
      <c r="K38" s="22"/>
      <c r="L38" s="6">
        <v>45153</v>
      </c>
      <c r="M38">
        <v>1353</v>
      </c>
      <c r="N38">
        <v>4013.7</v>
      </c>
      <c r="O38">
        <v>18947</v>
      </c>
      <c r="P38">
        <v>26.527999999999999</v>
      </c>
      <c r="Q38">
        <v>79.638000000000005</v>
      </c>
      <c r="R38">
        <v>495.09100000000001</v>
      </c>
      <c r="S38">
        <v>16</v>
      </c>
      <c r="T38">
        <v>42</v>
      </c>
      <c r="U38">
        <v>26</v>
      </c>
      <c r="V38">
        <v>486.67899999999997</v>
      </c>
      <c r="W38" s="4"/>
      <c r="X38" s="4" t="s">
        <v>18</v>
      </c>
      <c r="Y38" s="4">
        <f>SUM(Table1[[#This Row],[ZONE1_DISTANCE]:[ZONE3_DISTANCE]])</f>
        <v>24313.7</v>
      </c>
      <c r="Z38" s="4">
        <f>Table1[[#This Row],[ZONE1_DISTANCE]]/Table1[[#This Row],[TOTAL_DISTANCE]]</f>
        <v>5.5647638985427968E-2</v>
      </c>
    </row>
    <row r="39" spans="1:26" ht="21">
      <c r="A39" s="4">
        <v>16</v>
      </c>
      <c r="B39" s="4">
        <v>1</v>
      </c>
      <c r="C39" s="5">
        <v>12.52</v>
      </c>
      <c r="D39" s="4">
        <v>2</v>
      </c>
      <c r="E39" s="4">
        <v>148</v>
      </c>
      <c r="F39" s="4" t="s">
        <v>14</v>
      </c>
      <c r="G39" s="5" t="s">
        <v>79</v>
      </c>
      <c r="H39" s="4" t="s">
        <v>2</v>
      </c>
      <c r="I39" s="9" t="s">
        <v>30</v>
      </c>
      <c r="J39" s="4" t="s">
        <v>18</v>
      </c>
      <c r="K39" s="22" t="s">
        <v>48</v>
      </c>
      <c r="L39" s="6">
        <v>45153</v>
      </c>
      <c r="M39">
        <v>2251.6999999999998</v>
      </c>
      <c r="N39">
        <v>4467.7</v>
      </c>
      <c r="O39">
        <v>12066.7</v>
      </c>
      <c r="P39">
        <v>52.542999999999999</v>
      </c>
      <c r="Q39">
        <v>127.526</v>
      </c>
      <c r="R39">
        <v>421.09399999999999</v>
      </c>
      <c r="S39">
        <v>17</v>
      </c>
      <c r="T39">
        <v>41</v>
      </c>
      <c r="U39">
        <v>23</v>
      </c>
      <c r="V39">
        <v>447.17399999999998</v>
      </c>
      <c r="W39" s="4"/>
      <c r="X39" s="4" t="s">
        <v>18</v>
      </c>
      <c r="Y39" s="4">
        <f>SUM(Table1[[#This Row],[ZONE1_DISTANCE]:[ZONE3_DISTANCE]])</f>
        <v>18786.099999999999</v>
      </c>
      <c r="Z39" s="4">
        <f>Table1[[#This Row],[ZONE1_DISTANCE]]/Table1[[#This Row],[TOTAL_DISTANCE]]</f>
        <v>0.11985989641277327</v>
      </c>
    </row>
    <row r="40" spans="1:26" ht="21">
      <c r="A40" s="4">
        <v>37</v>
      </c>
      <c r="B40" s="4">
        <v>1</v>
      </c>
      <c r="C40" s="5">
        <v>15.34</v>
      </c>
      <c r="D40" s="4">
        <v>1</v>
      </c>
      <c r="E40" s="4">
        <v>139</v>
      </c>
      <c r="F40" s="4" t="s">
        <v>13</v>
      </c>
      <c r="G40" s="5" t="s">
        <v>80</v>
      </c>
      <c r="H40" s="4" t="s">
        <v>1</v>
      </c>
      <c r="I40" s="9" t="s">
        <v>29</v>
      </c>
      <c r="J40" s="4" t="s">
        <v>18</v>
      </c>
      <c r="K40" s="22" t="s">
        <v>56</v>
      </c>
      <c r="L40" s="6">
        <v>45153</v>
      </c>
      <c r="M40">
        <v>1648.4</v>
      </c>
      <c r="N40">
        <v>4275.3999999999996</v>
      </c>
      <c r="O40">
        <v>12341.3</v>
      </c>
      <c r="P40">
        <v>25.664999999999999</v>
      </c>
      <c r="Q40">
        <v>74.174000000000007</v>
      </c>
      <c r="R40">
        <v>501.34300000000002</v>
      </c>
      <c r="S40">
        <v>18</v>
      </c>
      <c r="T40">
        <v>44</v>
      </c>
      <c r="U40">
        <v>26</v>
      </c>
      <c r="V40">
        <v>131.29499999999999</v>
      </c>
      <c r="W40" s="4"/>
      <c r="X40" s="4" t="s">
        <v>18</v>
      </c>
      <c r="Y40" s="4">
        <f>SUM(Table1[[#This Row],[ZONE1_DISTANCE]:[ZONE3_DISTANCE]])</f>
        <v>18265.099999999999</v>
      </c>
      <c r="Z40" s="4">
        <f>Table1[[#This Row],[ZONE1_DISTANCE]]/Table1[[#This Row],[TOTAL_DISTANCE]]</f>
        <v>9.0248616213434371E-2</v>
      </c>
    </row>
    <row r="41" spans="1:26" ht="21">
      <c r="A41" s="4">
        <v>10</v>
      </c>
      <c r="B41" s="4">
        <v>1</v>
      </c>
      <c r="C41" s="5">
        <v>12.02</v>
      </c>
      <c r="D41" s="4">
        <v>4</v>
      </c>
      <c r="E41" s="4">
        <v>139</v>
      </c>
      <c r="F41" s="4" t="s">
        <v>14</v>
      </c>
      <c r="G41" s="5" t="s">
        <v>79</v>
      </c>
      <c r="H41" s="4" t="s">
        <v>2</v>
      </c>
      <c r="I41" s="10" t="s">
        <v>30</v>
      </c>
      <c r="J41" s="4" t="s">
        <v>18</v>
      </c>
      <c r="K41" s="22" t="s">
        <v>45</v>
      </c>
      <c r="L41" s="6">
        <v>45153</v>
      </c>
      <c r="M41">
        <v>681</v>
      </c>
      <c r="N41">
        <v>11281.5</v>
      </c>
      <c r="O41">
        <v>1711.1</v>
      </c>
      <c r="P41">
        <v>27.657</v>
      </c>
      <c r="Q41">
        <v>525.15700000000004</v>
      </c>
      <c r="R41">
        <v>48.531999999999996</v>
      </c>
      <c r="S41">
        <v>20</v>
      </c>
      <c r="T41">
        <v>55</v>
      </c>
      <c r="U41">
        <v>35</v>
      </c>
      <c r="V41">
        <v>13.519</v>
      </c>
      <c r="W41" s="4"/>
      <c r="X41" s="4" t="s">
        <v>18</v>
      </c>
      <c r="Y41" s="4">
        <f>SUM(Table1[[#This Row],[ZONE1_DISTANCE]:[ZONE3_DISTANCE]])</f>
        <v>13673.6</v>
      </c>
      <c r="Z41" s="4">
        <f>Table1[[#This Row],[ZONE1_DISTANCE]]/Table1[[#This Row],[TOTAL_DISTANCE]]</f>
        <v>4.9804001872220921E-2</v>
      </c>
    </row>
    <row r="42" spans="1:26" ht="21">
      <c r="A42" s="4">
        <v>84</v>
      </c>
      <c r="B42" s="4">
        <v>2</v>
      </c>
      <c r="C42" s="5">
        <v>14.2</v>
      </c>
      <c r="D42" s="4">
        <v>1</v>
      </c>
      <c r="E42" s="4">
        <v>148</v>
      </c>
      <c r="F42" s="4" t="s">
        <v>14</v>
      </c>
      <c r="G42" s="5" t="s">
        <v>80</v>
      </c>
      <c r="H42" s="4" t="s">
        <v>1</v>
      </c>
      <c r="I42" s="9"/>
      <c r="J42" s="4" t="s">
        <v>19</v>
      </c>
      <c r="K42" s="22" t="s">
        <v>68</v>
      </c>
      <c r="L42" s="6">
        <v>45154</v>
      </c>
      <c r="M42">
        <v>901.5</v>
      </c>
      <c r="N42">
        <v>4411.3</v>
      </c>
      <c r="O42">
        <v>11339.5</v>
      </c>
      <c r="P42">
        <v>25.006</v>
      </c>
      <c r="Q42">
        <v>122.051</v>
      </c>
      <c r="R42">
        <v>453.18200000000002</v>
      </c>
      <c r="S42">
        <v>20</v>
      </c>
      <c r="T42">
        <v>50</v>
      </c>
      <c r="U42">
        <v>31</v>
      </c>
      <c r="V42">
        <v>283.904</v>
      </c>
      <c r="W42" s="4"/>
      <c r="X42" s="4" t="s">
        <v>18</v>
      </c>
      <c r="Y42" s="4">
        <f>SUM(Table1[[#This Row],[ZONE1_DISTANCE]:[ZONE3_DISTANCE]])</f>
        <v>16652.3</v>
      </c>
      <c r="Z42" s="4">
        <f>Table1[[#This Row],[ZONE1_DISTANCE]]/Table1[[#This Row],[TOTAL_DISTANCE]]</f>
        <v>5.4136665805924709E-2</v>
      </c>
    </row>
    <row r="43" spans="1:26" ht="21">
      <c r="A43" s="4">
        <v>54</v>
      </c>
      <c r="B43" s="4">
        <v>2</v>
      </c>
      <c r="C43" s="5">
        <v>11.24</v>
      </c>
      <c r="D43" s="4">
        <v>2</v>
      </c>
      <c r="E43" s="4">
        <v>139</v>
      </c>
      <c r="F43" s="4" t="s">
        <v>14</v>
      </c>
      <c r="G43" s="5" t="s">
        <v>78</v>
      </c>
      <c r="H43" s="4" t="s">
        <v>2</v>
      </c>
      <c r="I43" s="9" t="s">
        <v>29</v>
      </c>
      <c r="J43" s="4" t="s">
        <v>18</v>
      </c>
      <c r="K43" s="22"/>
      <c r="L43" s="6">
        <v>45154</v>
      </c>
      <c r="M43">
        <v>3271.2</v>
      </c>
      <c r="N43">
        <v>6889.9</v>
      </c>
      <c r="O43">
        <v>14094.2</v>
      </c>
      <c r="P43">
        <v>59.598999999999997</v>
      </c>
      <c r="Q43">
        <v>134.62299999999999</v>
      </c>
      <c r="R43">
        <v>406.012</v>
      </c>
      <c r="S43">
        <v>21</v>
      </c>
      <c r="T43">
        <v>49</v>
      </c>
      <c r="U43">
        <v>28</v>
      </c>
      <c r="V43">
        <v>395.82900000000001</v>
      </c>
      <c r="W43" s="4"/>
      <c r="X43" s="4" t="s">
        <v>18</v>
      </c>
      <c r="Y43" s="4">
        <f>SUM(Table1[[#This Row],[ZONE1_DISTANCE]:[ZONE3_DISTANCE]])</f>
        <v>24255.3</v>
      </c>
      <c r="Z43" s="4">
        <f>Table1[[#This Row],[ZONE1_DISTANCE]]/Table1[[#This Row],[TOTAL_DISTANCE]]</f>
        <v>0.13486536963055495</v>
      </c>
    </row>
    <row r="44" spans="1:26" ht="21">
      <c r="A44" s="4">
        <v>56</v>
      </c>
      <c r="B44" s="4">
        <v>2</v>
      </c>
      <c r="C44" s="5">
        <v>11.34</v>
      </c>
      <c r="D44" s="4">
        <v>4</v>
      </c>
      <c r="E44" s="4">
        <v>148</v>
      </c>
      <c r="F44" s="4" t="s">
        <v>14</v>
      </c>
      <c r="G44" s="5" t="s">
        <v>78</v>
      </c>
      <c r="H44" s="4" t="s">
        <v>1</v>
      </c>
      <c r="I44" s="9"/>
      <c r="J44" s="4" t="s">
        <v>19</v>
      </c>
      <c r="K44" s="22" t="s">
        <v>76</v>
      </c>
      <c r="L44" s="6">
        <v>45154</v>
      </c>
      <c r="M44">
        <v>2160.5</v>
      </c>
      <c r="N44">
        <v>4482.2</v>
      </c>
      <c r="O44">
        <v>9884.7999999999993</v>
      </c>
      <c r="P44">
        <v>67.058999999999997</v>
      </c>
      <c r="Q44">
        <v>127.09099999999999</v>
      </c>
      <c r="R44">
        <v>406.09800000000001</v>
      </c>
      <c r="S44">
        <v>21</v>
      </c>
      <c r="T44">
        <v>47</v>
      </c>
      <c r="U44">
        <v>26</v>
      </c>
      <c r="V44">
        <v>188.29900000000001</v>
      </c>
      <c r="W44" s="4"/>
      <c r="X44" s="4" t="s">
        <v>18</v>
      </c>
      <c r="Y44" s="4">
        <f>SUM(Table1[[#This Row],[ZONE1_DISTANCE]:[ZONE3_DISTANCE]])</f>
        <v>16527.5</v>
      </c>
      <c r="Z44" s="4">
        <f>Table1[[#This Row],[ZONE1_DISTANCE]]/Table1[[#This Row],[TOTAL_DISTANCE]]</f>
        <v>0.13072152473150808</v>
      </c>
    </row>
    <row r="45" spans="1:26" ht="21">
      <c r="A45" s="4">
        <v>59</v>
      </c>
      <c r="B45" s="4">
        <v>2</v>
      </c>
      <c r="C45" s="5">
        <v>11.5</v>
      </c>
      <c r="D45" s="4">
        <v>1</v>
      </c>
      <c r="E45" s="4">
        <v>148</v>
      </c>
      <c r="F45" s="4" t="s">
        <v>13</v>
      </c>
      <c r="G45" s="5" t="s">
        <v>78</v>
      </c>
      <c r="H45" s="4" t="s">
        <v>2</v>
      </c>
      <c r="I45" s="9" t="s">
        <v>29</v>
      </c>
      <c r="J45" s="4" t="s">
        <v>18</v>
      </c>
      <c r="K45" s="22" t="s">
        <v>62</v>
      </c>
      <c r="L45" s="6">
        <v>45154</v>
      </c>
      <c r="M45">
        <v>6647.7</v>
      </c>
      <c r="N45">
        <v>5350.1</v>
      </c>
      <c r="O45">
        <v>8559.6</v>
      </c>
      <c r="P45">
        <v>142.88900000000001</v>
      </c>
      <c r="Q45">
        <v>119.003</v>
      </c>
      <c r="R45">
        <v>338.346</v>
      </c>
      <c r="S45">
        <v>21</v>
      </c>
      <c r="T45">
        <v>55</v>
      </c>
      <c r="U45">
        <v>34</v>
      </c>
      <c r="V45">
        <v>499.73899999999998</v>
      </c>
      <c r="W45" s="4"/>
      <c r="X45" s="4" t="s">
        <v>18</v>
      </c>
      <c r="Y45" s="4">
        <f>SUM(Table1[[#This Row],[ZONE1_DISTANCE]:[ZONE3_DISTANCE]])</f>
        <v>20557.400000000001</v>
      </c>
      <c r="Z45" s="4">
        <f>Table1[[#This Row],[ZONE1_DISTANCE]]/Table1[[#This Row],[TOTAL_DISTANCE]]</f>
        <v>0.32337260548512942</v>
      </c>
    </row>
    <row r="46" spans="1:26" ht="21">
      <c r="A46" s="4">
        <v>93</v>
      </c>
      <c r="B46" s="4">
        <v>2</v>
      </c>
      <c r="C46" s="5">
        <v>15.26</v>
      </c>
      <c r="D46" s="4">
        <v>1</v>
      </c>
      <c r="E46" s="4">
        <v>139</v>
      </c>
      <c r="F46" s="4" t="s">
        <v>13</v>
      </c>
      <c r="G46" s="5" t="s">
        <v>80</v>
      </c>
      <c r="H46" s="4" t="s">
        <v>2</v>
      </c>
      <c r="I46" s="10" t="s">
        <v>29</v>
      </c>
      <c r="J46" s="4" t="s">
        <v>1</v>
      </c>
      <c r="K46" s="22" t="s">
        <v>17</v>
      </c>
      <c r="L46" s="6">
        <v>45154</v>
      </c>
      <c r="M46">
        <v>4526.8</v>
      </c>
      <c r="N46">
        <v>6097.9</v>
      </c>
      <c r="O46">
        <v>9393.1</v>
      </c>
      <c r="P46">
        <v>116.236</v>
      </c>
      <c r="Q46">
        <v>167.863</v>
      </c>
      <c r="R46">
        <v>316.125</v>
      </c>
      <c r="S46">
        <v>21</v>
      </c>
      <c r="T46">
        <v>54</v>
      </c>
      <c r="U46">
        <v>34</v>
      </c>
      <c r="V46">
        <v>5.702</v>
      </c>
      <c r="W46" s="4"/>
      <c r="X46" s="4" t="s">
        <v>18</v>
      </c>
      <c r="Y46" s="4">
        <f>SUM(Table1[[#This Row],[ZONE1_DISTANCE]:[ZONE3_DISTANCE]])</f>
        <v>20017.800000000003</v>
      </c>
      <c r="Z46" s="4">
        <f>Table1[[#This Row],[ZONE1_DISTANCE]]/Table1[[#This Row],[TOTAL_DISTANCE]]</f>
        <v>0.22613873652449318</v>
      </c>
    </row>
    <row r="47" spans="1:26" ht="21">
      <c r="A47" s="4">
        <v>15</v>
      </c>
      <c r="B47" s="4">
        <v>1</v>
      </c>
      <c r="C47" s="5">
        <v>12.52</v>
      </c>
      <c r="D47" s="4">
        <v>1</v>
      </c>
      <c r="E47" s="4">
        <v>148</v>
      </c>
      <c r="F47" s="4" t="s">
        <v>13</v>
      </c>
      <c r="G47" s="5" t="s">
        <v>79</v>
      </c>
      <c r="H47" s="4" t="s">
        <v>2</v>
      </c>
      <c r="I47" s="9" t="s">
        <v>30</v>
      </c>
      <c r="J47" s="4" t="s">
        <v>18</v>
      </c>
      <c r="K47" s="22" t="s">
        <v>48</v>
      </c>
      <c r="L47" s="6">
        <v>45153</v>
      </c>
      <c r="M47">
        <v>3856.2</v>
      </c>
      <c r="N47">
        <v>7561.1</v>
      </c>
      <c r="O47">
        <v>14864.9</v>
      </c>
      <c r="P47">
        <v>81.400999999999996</v>
      </c>
      <c r="Q47">
        <v>143.911</v>
      </c>
      <c r="R47">
        <v>375.851</v>
      </c>
      <c r="S47">
        <v>22</v>
      </c>
      <c r="T47">
        <v>75</v>
      </c>
      <c r="U47">
        <v>53</v>
      </c>
      <c r="V47">
        <v>205.71100000000001</v>
      </c>
      <c r="W47" s="4"/>
      <c r="X47" s="4" t="s">
        <v>18</v>
      </c>
      <c r="Y47" s="4">
        <f>SUM(Table1[[#This Row],[ZONE1_DISTANCE]:[ZONE3_DISTANCE]])</f>
        <v>26282.199999999997</v>
      </c>
      <c r="Z47" s="4">
        <f>Table1[[#This Row],[ZONE1_DISTANCE]]/Table1[[#This Row],[TOTAL_DISTANCE]]</f>
        <v>0.14672287708030532</v>
      </c>
    </row>
    <row r="48" spans="1:26" ht="21">
      <c r="A48" s="4">
        <v>52</v>
      </c>
      <c r="B48" s="4">
        <v>2</v>
      </c>
      <c r="C48" s="5">
        <v>11.15</v>
      </c>
      <c r="D48" s="4">
        <v>4</v>
      </c>
      <c r="E48" s="4">
        <v>148</v>
      </c>
      <c r="F48" s="4" t="s">
        <v>14</v>
      </c>
      <c r="G48" s="5" t="s">
        <v>78</v>
      </c>
      <c r="H48" s="4" t="s">
        <v>1</v>
      </c>
      <c r="I48" s="9" t="s">
        <v>30</v>
      </c>
      <c r="J48" s="4" t="s">
        <v>18</v>
      </c>
      <c r="K48" s="22" t="s">
        <v>61</v>
      </c>
      <c r="L48" s="6">
        <v>45154</v>
      </c>
      <c r="M48">
        <v>2202.5</v>
      </c>
      <c r="N48">
        <v>4827.3999999999996</v>
      </c>
      <c r="O48">
        <v>15358.3</v>
      </c>
      <c r="P48">
        <v>49.195</v>
      </c>
      <c r="Q48">
        <v>96.42</v>
      </c>
      <c r="R48">
        <v>454.62</v>
      </c>
      <c r="S48">
        <v>22</v>
      </c>
      <c r="T48">
        <v>62</v>
      </c>
      <c r="U48">
        <v>40</v>
      </c>
      <c r="V48">
        <v>258.7</v>
      </c>
      <c r="W48" s="4"/>
      <c r="X48" s="4" t="s">
        <v>18</v>
      </c>
      <c r="Y48" s="4">
        <f>SUM(Table1[[#This Row],[ZONE1_DISTANCE]:[ZONE3_DISTANCE]])</f>
        <v>22388.199999999997</v>
      </c>
      <c r="Z48" s="4">
        <f>Table1[[#This Row],[ZONE1_DISTANCE]]/Table1[[#This Row],[TOTAL_DISTANCE]]</f>
        <v>9.8377716832974527E-2</v>
      </c>
    </row>
    <row r="49" spans="1:26" ht="21">
      <c r="A49" s="4">
        <v>72</v>
      </c>
      <c r="B49" s="4">
        <v>2</v>
      </c>
      <c r="C49" s="5">
        <v>13.2</v>
      </c>
      <c r="D49" s="4">
        <v>4</v>
      </c>
      <c r="E49" s="4">
        <v>148</v>
      </c>
      <c r="F49" s="4" t="s">
        <v>14</v>
      </c>
      <c r="G49" s="5" t="s">
        <v>79</v>
      </c>
      <c r="H49" s="4" t="s">
        <v>1</v>
      </c>
      <c r="I49" s="9" t="s">
        <v>29</v>
      </c>
      <c r="J49" s="4" t="s">
        <v>18</v>
      </c>
      <c r="K49" s="22"/>
      <c r="L49" s="6">
        <v>45154</v>
      </c>
      <c r="M49">
        <v>1629.3</v>
      </c>
      <c r="N49">
        <v>7728.2</v>
      </c>
      <c r="O49">
        <v>11467.6</v>
      </c>
      <c r="P49">
        <v>30.866</v>
      </c>
      <c r="Q49">
        <v>191.577</v>
      </c>
      <c r="R49">
        <v>377.815</v>
      </c>
      <c r="S49">
        <v>22</v>
      </c>
      <c r="T49">
        <v>85</v>
      </c>
      <c r="U49">
        <v>64</v>
      </c>
      <c r="V49">
        <v>235.76599999999999</v>
      </c>
      <c r="W49" s="4"/>
      <c r="X49" s="4" t="s">
        <v>18</v>
      </c>
      <c r="Y49" s="4">
        <f>SUM(Table1[[#This Row],[ZONE1_DISTANCE]:[ZONE3_DISTANCE]])</f>
        <v>20825.099999999999</v>
      </c>
      <c r="Z49" s="4">
        <f>Table1[[#This Row],[ZONE1_DISTANCE]]/Table1[[#This Row],[TOTAL_DISTANCE]]</f>
        <v>7.8237319388622384E-2</v>
      </c>
    </row>
    <row r="50" spans="1:26" ht="21">
      <c r="A50" s="4">
        <v>77</v>
      </c>
      <c r="B50" s="4">
        <v>2</v>
      </c>
      <c r="C50" s="5">
        <v>13.56</v>
      </c>
      <c r="D50" s="4">
        <v>3</v>
      </c>
      <c r="E50" s="4">
        <v>139</v>
      </c>
      <c r="F50" s="4" t="s">
        <v>13</v>
      </c>
      <c r="G50" s="5" t="s">
        <v>79</v>
      </c>
      <c r="H50" s="4" t="s">
        <v>1</v>
      </c>
      <c r="I50" s="9"/>
      <c r="J50" s="4" t="s">
        <v>18</v>
      </c>
      <c r="K50" s="22"/>
      <c r="L50" s="6">
        <v>45154</v>
      </c>
      <c r="M50">
        <v>4585.6000000000004</v>
      </c>
      <c r="N50">
        <v>5747.9</v>
      </c>
      <c r="O50">
        <v>12611.7</v>
      </c>
      <c r="P50">
        <v>85.697000000000003</v>
      </c>
      <c r="Q50">
        <v>133.12100000000001</v>
      </c>
      <c r="R50">
        <v>381.42099999999999</v>
      </c>
      <c r="S50">
        <v>24</v>
      </c>
      <c r="T50">
        <v>59</v>
      </c>
      <c r="U50">
        <v>36</v>
      </c>
      <c r="V50">
        <v>330.79399999999998</v>
      </c>
      <c r="W50" s="4"/>
      <c r="X50" s="4" t="s">
        <v>18</v>
      </c>
      <c r="Y50" s="4">
        <f>SUM(Table1[[#This Row],[ZONE1_DISTANCE]:[ZONE3_DISTANCE]])</f>
        <v>22945.200000000001</v>
      </c>
      <c r="Z50" s="4">
        <f>Table1[[#This Row],[ZONE1_DISTANCE]]/Table1[[#This Row],[TOTAL_DISTANCE]]</f>
        <v>0.19985007757613793</v>
      </c>
    </row>
    <row r="51" spans="1:26" ht="21">
      <c r="A51" s="4">
        <v>13</v>
      </c>
      <c r="B51" s="4">
        <v>1</v>
      </c>
      <c r="C51" s="5">
        <v>12.39</v>
      </c>
      <c r="D51" s="4">
        <v>3</v>
      </c>
      <c r="E51" s="4">
        <v>139</v>
      </c>
      <c r="F51" s="4" t="s">
        <v>13</v>
      </c>
      <c r="G51" s="5" t="s">
        <v>79</v>
      </c>
      <c r="H51" s="4" t="s">
        <v>1</v>
      </c>
      <c r="I51" s="9" t="s">
        <v>29</v>
      </c>
      <c r="J51" s="4" t="s">
        <v>18</v>
      </c>
      <c r="K51" s="22"/>
      <c r="L51" s="6">
        <v>45153</v>
      </c>
      <c r="M51">
        <v>3113.7</v>
      </c>
      <c r="N51">
        <v>4392.8999999999996</v>
      </c>
      <c r="O51">
        <v>15365.9</v>
      </c>
      <c r="P51">
        <v>51.460999999999999</v>
      </c>
      <c r="Q51">
        <v>65.864000000000004</v>
      </c>
      <c r="R51">
        <v>483.82499999999999</v>
      </c>
      <c r="S51">
        <v>25</v>
      </c>
      <c r="T51">
        <v>52</v>
      </c>
      <c r="U51">
        <v>28</v>
      </c>
      <c r="V51">
        <v>268.18700000000001</v>
      </c>
      <c r="W51" s="4"/>
      <c r="X51" s="4" t="s">
        <v>18</v>
      </c>
      <c r="Y51" s="4">
        <f>SUM(Table1[[#This Row],[ZONE1_DISTANCE]:[ZONE3_DISTANCE]])</f>
        <v>22872.5</v>
      </c>
      <c r="Z51" s="4">
        <f>Table1[[#This Row],[ZONE1_DISTANCE]]/Table1[[#This Row],[TOTAL_DISTANCE]]</f>
        <v>0.136132910700623</v>
      </c>
    </row>
    <row r="52" spans="1:26" ht="21">
      <c r="A52" s="4">
        <v>8</v>
      </c>
      <c r="B52" s="4">
        <v>1</v>
      </c>
      <c r="C52" s="5">
        <v>11.48</v>
      </c>
      <c r="D52" s="4">
        <v>4</v>
      </c>
      <c r="E52" s="4">
        <v>148</v>
      </c>
      <c r="F52" s="4" t="s">
        <v>13</v>
      </c>
      <c r="G52" s="5" t="s">
        <v>78</v>
      </c>
      <c r="H52" s="4" t="s">
        <v>2</v>
      </c>
      <c r="I52" s="9" t="s">
        <v>31</v>
      </c>
      <c r="J52" s="4" t="s">
        <v>18</v>
      </c>
      <c r="K52" s="22" t="s">
        <v>44</v>
      </c>
      <c r="L52" s="6">
        <v>45153</v>
      </c>
      <c r="M52">
        <v>2374.3000000000002</v>
      </c>
      <c r="N52">
        <v>7221.4</v>
      </c>
      <c r="O52">
        <v>19103.3</v>
      </c>
      <c r="P52">
        <v>51.149000000000001</v>
      </c>
      <c r="Q52">
        <v>128.56</v>
      </c>
      <c r="R52">
        <v>421.46199999999999</v>
      </c>
      <c r="S52">
        <v>27</v>
      </c>
      <c r="T52">
        <v>91</v>
      </c>
      <c r="U52">
        <v>64</v>
      </c>
      <c r="V52">
        <v>113.38</v>
      </c>
      <c r="W52" s="4"/>
      <c r="X52" s="4" t="s">
        <v>18</v>
      </c>
      <c r="Y52" s="4">
        <f>SUM(Table1[[#This Row],[ZONE1_DISTANCE]:[ZONE3_DISTANCE]])</f>
        <v>28699</v>
      </c>
      <c r="Z52" s="4">
        <f>Table1[[#This Row],[ZONE1_DISTANCE]]/Table1[[#This Row],[TOTAL_DISTANCE]]</f>
        <v>8.273110561343601E-2</v>
      </c>
    </row>
    <row r="53" spans="1:26" ht="21">
      <c r="A53" s="4">
        <v>33</v>
      </c>
      <c r="B53" s="4">
        <v>1</v>
      </c>
      <c r="C53" s="5">
        <v>15.15</v>
      </c>
      <c r="D53" s="4">
        <v>1</v>
      </c>
      <c r="E53" s="4">
        <v>139</v>
      </c>
      <c r="F53" s="4" t="s">
        <v>13</v>
      </c>
      <c r="G53" s="5" t="s">
        <v>80</v>
      </c>
      <c r="H53" s="4" t="s">
        <v>1</v>
      </c>
      <c r="I53" s="9" t="s">
        <v>29</v>
      </c>
      <c r="J53" s="4" t="s">
        <v>18</v>
      </c>
      <c r="K53" s="22" t="s">
        <v>55</v>
      </c>
      <c r="L53" s="6">
        <v>45153</v>
      </c>
      <c r="M53">
        <v>2735.3</v>
      </c>
      <c r="N53">
        <v>6187.2</v>
      </c>
      <c r="O53">
        <v>15127.3</v>
      </c>
      <c r="P53">
        <v>52.009</v>
      </c>
      <c r="Q53">
        <v>117.648</v>
      </c>
      <c r="R53">
        <v>431.50299999999999</v>
      </c>
      <c r="S53">
        <v>27</v>
      </c>
      <c r="T53">
        <v>64</v>
      </c>
      <c r="U53">
        <v>37</v>
      </c>
      <c r="V53">
        <v>232.45</v>
      </c>
      <c r="W53" s="4"/>
      <c r="X53" s="4" t="s">
        <v>18</v>
      </c>
      <c r="Y53" s="4">
        <f>SUM(Table1[[#This Row],[ZONE1_DISTANCE]:[ZONE3_DISTANCE]])</f>
        <v>24049.8</v>
      </c>
      <c r="Z53" s="4">
        <f>Table1[[#This Row],[ZONE1_DISTANCE]]/Table1[[#This Row],[TOTAL_DISTANCE]]</f>
        <v>0.11373483355370939</v>
      </c>
    </row>
    <row r="54" spans="1:26" ht="21">
      <c r="A54" s="4">
        <v>73</v>
      </c>
      <c r="B54" s="4">
        <v>2</v>
      </c>
      <c r="C54" s="5">
        <v>13.35</v>
      </c>
      <c r="D54" s="4">
        <v>3</v>
      </c>
      <c r="E54" s="4">
        <v>139</v>
      </c>
      <c r="F54" s="4" t="s">
        <v>13</v>
      </c>
      <c r="G54" s="5" t="s">
        <v>79</v>
      </c>
      <c r="H54" s="4" t="s">
        <v>2</v>
      </c>
      <c r="I54" s="10" t="s">
        <v>29</v>
      </c>
      <c r="J54" s="4" t="s">
        <v>18</v>
      </c>
      <c r="K54" s="22" t="s">
        <v>65</v>
      </c>
      <c r="L54" s="6">
        <v>45154</v>
      </c>
      <c r="M54">
        <v>4403</v>
      </c>
      <c r="N54">
        <v>4611.2</v>
      </c>
      <c r="O54">
        <v>9541.4</v>
      </c>
      <c r="P54">
        <v>123.946</v>
      </c>
      <c r="Q54">
        <v>106.194</v>
      </c>
      <c r="R54">
        <v>370.10199999999998</v>
      </c>
      <c r="S54">
        <v>29</v>
      </c>
      <c r="T54">
        <v>63</v>
      </c>
      <c r="U54">
        <v>34</v>
      </c>
      <c r="V54">
        <v>53.033000000000001</v>
      </c>
      <c r="W54" s="4" t="s">
        <v>58</v>
      </c>
      <c r="X54" s="4" t="s">
        <v>19</v>
      </c>
      <c r="Y54" s="4">
        <f>SUM(Table1[[#This Row],[ZONE1_DISTANCE]:[ZONE3_DISTANCE]])</f>
        <v>18555.599999999999</v>
      </c>
      <c r="Z54" s="4">
        <f>Table1[[#This Row],[ZONE1_DISTANCE]]/Table1[[#This Row],[TOTAL_DISTANCE]]</f>
        <v>0.23728685679794781</v>
      </c>
    </row>
    <row r="55" spans="1:26" ht="21">
      <c r="A55" s="4">
        <v>43</v>
      </c>
      <c r="B55" s="4">
        <v>1</v>
      </c>
      <c r="C55" s="5">
        <v>15.59</v>
      </c>
      <c r="D55" s="4">
        <v>1</v>
      </c>
      <c r="E55" s="4">
        <v>148</v>
      </c>
      <c r="F55" s="4" t="s">
        <v>13</v>
      </c>
      <c r="G55" s="5" t="s">
        <v>80</v>
      </c>
      <c r="H55" s="4" t="s">
        <v>1</v>
      </c>
      <c r="I55" s="9" t="s">
        <v>30</v>
      </c>
      <c r="J55" s="4" t="s">
        <v>18</v>
      </c>
      <c r="K55" s="22" t="s">
        <v>48</v>
      </c>
      <c r="L55" s="6">
        <v>45153</v>
      </c>
      <c r="M55">
        <v>1789.7</v>
      </c>
      <c r="N55">
        <v>7395.2</v>
      </c>
      <c r="O55">
        <v>13476.3</v>
      </c>
      <c r="P55">
        <v>35.404000000000003</v>
      </c>
      <c r="Q55">
        <v>154.04</v>
      </c>
      <c r="R55">
        <v>411.67399999999998</v>
      </c>
      <c r="S55">
        <v>30</v>
      </c>
      <c r="T55">
        <v>69</v>
      </c>
      <c r="U55">
        <v>39</v>
      </c>
      <c r="V55">
        <v>177.673</v>
      </c>
      <c r="W55" s="4"/>
      <c r="X55" s="4" t="s">
        <v>18</v>
      </c>
      <c r="Y55" s="4">
        <f>SUM(Table1[[#This Row],[ZONE1_DISTANCE]:[ZONE3_DISTANCE]])</f>
        <v>22661.199999999997</v>
      </c>
      <c r="Z55" s="4">
        <f>Table1[[#This Row],[ZONE1_DISTANCE]]/Table1[[#This Row],[TOTAL_DISTANCE]]</f>
        <v>7.8976400190634219E-2</v>
      </c>
    </row>
    <row r="56" spans="1:26" ht="21">
      <c r="A56" s="4">
        <v>19</v>
      </c>
      <c r="B56" s="4">
        <v>1</v>
      </c>
      <c r="C56" s="5">
        <v>13.12</v>
      </c>
      <c r="D56" s="4">
        <v>3</v>
      </c>
      <c r="E56" s="4">
        <v>148</v>
      </c>
      <c r="F56" s="4" t="s">
        <v>13</v>
      </c>
      <c r="G56" s="5" t="s">
        <v>79</v>
      </c>
      <c r="H56" s="4" t="s">
        <v>2</v>
      </c>
      <c r="I56" s="9" t="s">
        <v>30</v>
      </c>
      <c r="J56" s="4" t="s">
        <v>18</v>
      </c>
      <c r="K56" s="22" t="s">
        <v>50</v>
      </c>
      <c r="L56" s="6">
        <v>45153</v>
      </c>
      <c r="M56">
        <v>3272.4</v>
      </c>
      <c r="N56">
        <v>12173.7</v>
      </c>
      <c r="O56">
        <v>5352.6</v>
      </c>
      <c r="P56">
        <v>77.262</v>
      </c>
      <c r="Q56">
        <v>366.81700000000001</v>
      </c>
      <c r="R56">
        <v>157.28700000000001</v>
      </c>
      <c r="S56">
        <v>31</v>
      </c>
      <c r="T56">
        <v>98</v>
      </c>
      <c r="U56">
        <v>67</v>
      </c>
      <c r="V56">
        <v>184.239</v>
      </c>
      <c r="W56" s="4"/>
      <c r="X56" s="4" t="s">
        <v>18</v>
      </c>
      <c r="Y56" s="4">
        <f>SUM(Table1[[#This Row],[ZONE1_DISTANCE]:[ZONE3_DISTANCE]])</f>
        <v>20798.7</v>
      </c>
      <c r="Z56" s="4">
        <f>Table1[[#This Row],[ZONE1_DISTANCE]]/Table1[[#This Row],[TOTAL_DISTANCE]]</f>
        <v>0.15733675662421209</v>
      </c>
    </row>
    <row r="57" spans="1:26" ht="21">
      <c r="A57" s="4">
        <v>71</v>
      </c>
      <c r="B57" s="4">
        <v>2</v>
      </c>
      <c r="C57" s="5">
        <v>13.2</v>
      </c>
      <c r="D57" s="4">
        <v>3</v>
      </c>
      <c r="E57" s="4">
        <v>148</v>
      </c>
      <c r="F57" s="4" t="s">
        <v>13</v>
      </c>
      <c r="G57" s="5" t="s">
        <v>79</v>
      </c>
      <c r="H57" s="4" t="s">
        <v>2</v>
      </c>
      <c r="I57" s="9" t="s">
        <v>29</v>
      </c>
      <c r="J57" s="4" t="s">
        <v>18</v>
      </c>
      <c r="K57" s="22"/>
      <c r="L57" s="6">
        <v>45154</v>
      </c>
      <c r="M57">
        <v>4985.8999999999996</v>
      </c>
      <c r="N57">
        <v>6135.1</v>
      </c>
      <c r="O57">
        <v>12512.3</v>
      </c>
      <c r="P57">
        <v>111.79300000000001</v>
      </c>
      <c r="Q57">
        <v>141.81299999999999</v>
      </c>
      <c r="R57">
        <v>346.65300000000002</v>
      </c>
      <c r="S57">
        <v>31</v>
      </c>
      <c r="T57">
        <v>70</v>
      </c>
      <c r="U57">
        <v>39</v>
      </c>
      <c r="V57">
        <v>110.71</v>
      </c>
      <c r="W57" s="4"/>
      <c r="X57" s="4" t="s">
        <v>18</v>
      </c>
      <c r="Y57" s="4">
        <f>SUM(Table1[[#This Row],[ZONE1_DISTANCE]:[ZONE3_DISTANCE]])</f>
        <v>23633.3</v>
      </c>
      <c r="Z57" s="4">
        <f>Table1[[#This Row],[ZONE1_DISTANCE]]/Table1[[#This Row],[TOTAL_DISTANCE]]</f>
        <v>0.21096926793972912</v>
      </c>
    </row>
    <row r="58" spans="1:26" ht="21">
      <c r="A58" s="4">
        <v>39</v>
      </c>
      <c r="B58" s="4">
        <v>1</v>
      </c>
      <c r="C58" s="5">
        <v>15.42</v>
      </c>
      <c r="D58" s="4">
        <v>3</v>
      </c>
      <c r="E58" s="4">
        <v>148</v>
      </c>
      <c r="F58" s="4" t="s">
        <v>13</v>
      </c>
      <c r="G58" s="5" t="s">
        <v>80</v>
      </c>
      <c r="H58" s="4" t="s">
        <v>1</v>
      </c>
      <c r="I58" s="9" t="s">
        <v>31</v>
      </c>
      <c r="J58" s="4" t="s">
        <v>1</v>
      </c>
      <c r="K58" s="22" t="s">
        <v>57</v>
      </c>
      <c r="L58" s="6">
        <v>45153</v>
      </c>
      <c r="M58">
        <v>3229.9</v>
      </c>
      <c r="N58">
        <v>7518.6</v>
      </c>
      <c r="O58">
        <v>13726.2</v>
      </c>
      <c r="P58">
        <v>64.465000000000003</v>
      </c>
      <c r="Q58">
        <v>138.24600000000001</v>
      </c>
      <c r="R58">
        <v>398.47699999999998</v>
      </c>
      <c r="S58">
        <v>32</v>
      </c>
      <c r="T58">
        <v>82</v>
      </c>
      <c r="U58">
        <v>50</v>
      </c>
      <c r="V58">
        <v>111.82</v>
      </c>
      <c r="W58" s="4"/>
      <c r="X58" s="4" t="s">
        <v>18</v>
      </c>
      <c r="Y58" s="4">
        <f>SUM(Table1[[#This Row],[ZONE1_DISTANCE]:[ZONE3_DISTANCE]])</f>
        <v>24474.7</v>
      </c>
      <c r="Z58" s="4">
        <f>Table1[[#This Row],[ZONE1_DISTANCE]]/Table1[[#This Row],[TOTAL_DISTANCE]]</f>
        <v>0.1319689311819961</v>
      </c>
    </row>
    <row r="59" spans="1:26" ht="21">
      <c r="A59" s="4">
        <v>68</v>
      </c>
      <c r="B59" s="4">
        <v>2</v>
      </c>
      <c r="C59" s="5">
        <v>12.28</v>
      </c>
      <c r="D59" s="4">
        <v>4</v>
      </c>
      <c r="E59" s="4">
        <v>148</v>
      </c>
      <c r="F59" s="4" t="s">
        <v>14</v>
      </c>
      <c r="G59" s="5" t="s">
        <v>79</v>
      </c>
      <c r="H59" s="4" t="s">
        <v>2</v>
      </c>
      <c r="I59" s="10" t="s">
        <v>31</v>
      </c>
      <c r="J59" s="4" t="s">
        <v>18</v>
      </c>
      <c r="K59" s="22" t="s">
        <v>51</v>
      </c>
      <c r="L59" s="6">
        <v>45154</v>
      </c>
      <c r="M59">
        <v>3128.4</v>
      </c>
      <c r="N59">
        <v>6186.2</v>
      </c>
      <c r="O59">
        <v>12738.6</v>
      </c>
      <c r="P59">
        <v>71.674999999999997</v>
      </c>
      <c r="Q59">
        <v>138.648</v>
      </c>
      <c r="R59">
        <v>389.92500000000001</v>
      </c>
      <c r="S59">
        <v>32</v>
      </c>
      <c r="T59">
        <v>66</v>
      </c>
      <c r="U59">
        <v>34</v>
      </c>
      <c r="V59">
        <v>221.25800000000001</v>
      </c>
      <c r="W59" s="4"/>
      <c r="X59" s="4" t="s">
        <v>18</v>
      </c>
      <c r="Y59" s="4">
        <f>SUM(Table1[[#This Row],[ZONE1_DISTANCE]:[ZONE3_DISTANCE]])</f>
        <v>22053.200000000001</v>
      </c>
      <c r="Z59" s="4">
        <f>Table1[[#This Row],[ZONE1_DISTANCE]]/Table1[[#This Row],[TOTAL_DISTANCE]]</f>
        <v>0.14185696406870657</v>
      </c>
    </row>
    <row r="60" spans="1:26" ht="21">
      <c r="A60" s="4">
        <v>30</v>
      </c>
      <c r="B60" s="4">
        <v>1</v>
      </c>
      <c r="C60" s="5">
        <v>14.57</v>
      </c>
      <c r="D60" s="4">
        <v>4</v>
      </c>
      <c r="E60" s="4">
        <v>139</v>
      </c>
      <c r="F60" s="4" t="s">
        <v>14</v>
      </c>
      <c r="G60" s="5" t="s">
        <v>80</v>
      </c>
      <c r="H60" s="4" t="s">
        <v>1</v>
      </c>
      <c r="I60" s="9" t="s">
        <v>30</v>
      </c>
      <c r="J60" s="4" t="s">
        <v>18</v>
      </c>
      <c r="K60" s="22"/>
      <c r="L60" s="6">
        <v>45153</v>
      </c>
      <c r="M60">
        <v>3405.4</v>
      </c>
      <c r="N60">
        <v>9685.9</v>
      </c>
      <c r="O60">
        <v>11631.1</v>
      </c>
      <c r="P60">
        <v>81.697999999999993</v>
      </c>
      <c r="Q60">
        <v>221.56700000000001</v>
      </c>
      <c r="R60">
        <v>297.96699999999998</v>
      </c>
      <c r="S60">
        <v>33</v>
      </c>
      <c r="T60">
        <v>83</v>
      </c>
      <c r="U60">
        <v>50</v>
      </c>
      <c r="V60">
        <v>21.748999999999999</v>
      </c>
      <c r="W60" s="4"/>
      <c r="X60" s="4" t="s">
        <v>18</v>
      </c>
      <c r="Y60" s="4">
        <f>SUM(Table1[[#This Row],[ZONE1_DISTANCE]:[ZONE3_DISTANCE]])</f>
        <v>24722.400000000001</v>
      </c>
      <c r="Z60" s="4">
        <f>Table1[[#This Row],[ZONE1_DISTANCE]]/Table1[[#This Row],[TOTAL_DISTANCE]]</f>
        <v>0.13774552632430509</v>
      </c>
    </row>
    <row r="61" spans="1:26" ht="21">
      <c r="A61" s="4">
        <v>58</v>
      </c>
      <c r="B61" s="4">
        <v>2</v>
      </c>
      <c r="C61" s="5">
        <v>11.4</v>
      </c>
      <c r="D61" s="4">
        <v>4</v>
      </c>
      <c r="E61" s="4">
        <v>139</v>
      </c>
      <c r="F61" s="4" t="s">
        <v>14</v>
      </c>
      <c r="G61" s="5" t="s">
        <v>78</v>
      </c>
      <c r="H61" s="4" t="s">
        <v>1</v>
      </c>
      <c r="I61" s="9"/>
      <c r="J61" s="4" t="s">
        <v>18</v>
      </c>
      <c r="K61" s="22"/>
      <c r="L61" s="6">
        <v>45154</v>
      </c>
      <c r="M61">
        <v>2333.3000000000002</v>
      </c>
      <c r="N61">
        <v>12336.3</v>
      </c>
      <c r="O61">
        <v>13925.5</v>
      </c>
      <c r="P61">
        <v>32.664000000000001</v>
      </c>
      <c r="Q61">
        <v>274.529</v>
      </c>
      <c r="R61">
        <v>293.09500000000003</v>
      </c>
      <c r="S61">
        <v>33</v>
      </c>
      <c r="T61">
        <v>127</v>
      </c>
      <c r="U61">
        <v>95</v>
      </c>
      <c r="V61">
        <v>45.725999999999999</v>
      </c>
      <c r="W61" s="4"/>
      <c r="X61" s="4" t="s">
        <v>18</v>
      </c>
      <c r="Y61" s="4">
        <f>SUM(Table1[[#This Row],[ZONE1_DISTANCE]:[ZONE3_DISTANCE]])</f>
        <v>28595.1</v>
      </c>
      <c r="Z61" s="4">
        <f>Table1[[#This Row],[ZONE1_DISTANCE]]/Table1[[#This Row],[TOTAL_DISTANCE]]</f>
        <v>8.1597896143045495E-2</v>
      </c>
    </row>
    <row r="62" spans="1:26" ht="21">
      <c r="A62" s="4">
        <v>69</v>
      </c>
      <c r="B62" s="4">
        <v>2</v>
      </c>
      <c r="C62" s="5">
        <v>13.16</v>
      </c>
      <c r="D62" s="4">
        <v>1</v>
      </c>
      <c r="E62" s="4">
        <v>139</v>
      </c>
      <c r="F62" s="4" t="s">
        <v>13</v>
      </c>
      <c r="G62" s="5" t="s">
        <v>79</v>
      </c>
      <c r="H62" s="4" t="s">
        <v>1</v>
      </c>
      <c r="I62" s="10" t="s">
        <v>31</v>
      </c>
      <c r="J62" s="4" t="s">
        <v>18</v>
      </c>
      <c r="K62" s="22" t="s">
        <v>64</v>
      </c>
      <c r="L62" s="6">
        <v>45154</v>
      </c>
      <c r="M62">
        <v>2965.8</v>
      </c>
      <c r="N62">
        <v>6873.8</v>
      </c>
      <c r="O62">
        <v>16688.599999999999</v>
      </c>
      <c r="P62">
        <v>60.204000000000001</v>
      </c>
      <c r="Q62">
        <v>131.96899999999999</v>
      </c>
      <c r="R62">
        <v>408.07799999999997</v>
      </c>
      <c r="S62">
        <v>33</v>
      </c>
      <c r="T62">
        <v>62</v>
      </c>
      <c r="U62">
        <v>29</v>
      </c>
      <c r="V62">
        <v>417.92700000000002</v>
      </c>
      <c r="W62" s="4"/>
      <c r="X62" s="4" t="s">
        <v>18</v>
      </c>
      <c r="Y62" s="4">
        <f>SUM(Table1[[#This Row],[ZONE1_DISTANCE]:[ZONE3_DISTANCE]])</f>
        <v>26528.199999999997</v>
      </c>
      <c r="Z62" s="4">
        <f>Table1[[#This Row],[ZONE1_DISTANCE]]/Table1[[#This Row],[TOTAL_DISTANCE]]</f>
        <v>0.11179801117301591</v>
      </c>
    </row>
    <row r="63" spans="1:26" ht="21">
      <c r="A63" s="4">
        <v>41</v>
      </c>
      <c r="B63" s="4">
        <v>1</v>
      </c>
      <c r="C63" s="5">
        <v>15.54</v>
      </c>
      <c r="D63" s="4">
        <v>3</v>
      </c>
      <c r="E63" s="4">
        <v>139</v>
      </c>
      <c r="F63" s="4" t="s">
        <v>13</v>
      </c>
      <c r="G63" s="5" t="s">
        <v>80</v>
      </c>
      <c r="H63" s="4" t="s">
        <v>1</v>
      </c>
      <c r="I63" s="9" t="s">
        <v>31</v>
      </c>
      <c r="J63" s="4" t="s">
        <v>1</v>
      </c>
      <c r="K63" s="22" t="s">
        <v>74</v>
      </c>
      <c r="L63" s="6">
        <v>45153</v>
      </c>
      <c r="M63">
        <v>1910.4</v>
      </c>
      <c r="N63">
        <v>10755</v>
      </c>
      <c r="O63">
        <v>8319.7999999999993</v>
      </c>
      <c r="P63">
        <v>43.712000000000003</v>
      </c>
      <c r="Q63">
        <v>288.233</v>
      </c>
      <c r="R63">
        <v>269.30500000000001</v>
      </c>
      <c r="S63">
        <v>34</v>
      </c>
      <c r="T63">
        <v>80</v>
      </c>
      <c r="U63">
        <v>46</v>
      </c>
      <c r="V63">
        <v>52.734000000000002</v>
      </c>
      <c r="W63" s="4" t="s">
        <v>46</v>
      </c>
      <c r="X63" s="4" t="s">
        <v>19</v>
      </c>
      <c r="Y63" s="4">
        <f>SUM(Table1[[#This Row],[ZONE1_DISTANCE]:[ZONE3_DISTANCE]])</f>
        <v>20985.199999999997</v>
      </c>
      <c r="Z63" s="4">
        <f>Table1[[#This Row],[ZONE1_DISTANCE]]/Table1[[#This Row],[TOTAL_DISTANCE]]</f>
        <v>9.103558698511334E-2</v>
      </c>
    </row>
    <row r="64" spans="1:26" ht="21">
      <c r="A64" s="4">
        <v>85</v>
      </c>
      <c r="B64" s="4">
        <v>2</v>
      </c>
      <c r="C64" s="5">
        <v>14.36</v>
      </c>
      <c r="D64" s="4">
        <v>3</v>
      </c>
      <c r="E64" s="4">
        <v>139</v>
      </c>
      <c r="F64" s="4" t="s">
        <v>13</v>
      </c>
      <c r="G64" s="5" t="s">
        <v>80</v>
      </c>
      <c r="H64" s="4" t="s">
        <v>1</v>
      </c>
      <c r="I64" s="9" t="s">
        <v>29</v>
      </c>
      <c r="J64" s="4" t="s">
        <v>18</v>
      </c>
      <c r="K64" s="22" t="s">
        <v>66</v>
      </c>
      <c r="L64" s="6">
        <v>45154</v>
      </c>
      <c r="M64">
        <v>3210.3</v>
      </c>
      <c r="N64">
        <v>12053.5</v>
      </c>
      <c r="O64">
        <v>14951.7</v>
      </c>
      <c r="P64">
        <v>60.13</v>
      </c>
      <c r="Q64">
        <v>217.89</v>
      </c>
      <c r="R64">
        <v>322.26100000000002</v>
      </c>
      <c r="S64">
        <v>35</v>
      </c>
      <c r="T64">
        <v>99</v>
      </c>
      <c r="U64">
        <v>64</v>
      </c>
      <c r="V64">
        <v>237.935</v>
      </c>
      <c r="W64" s="4"/>
      <c r="X64" s="4" t="s">
        <v>18</v>
      </c>
      <c r="Y64" s="4">
        <f>SUM(Table1[[#This Row],[ZONE1_DISTANCE]:[ZONE3_DISTANCE]])</f>
        <v>30215.5</v>
      </c>
      <c r="Z64" s="4">
        <f>Table1[[#This Row],[ZONE1_DISTANCE]]/Table1[[#This Row],[TOTAL_DISTANCE]]</f>
        <v>0.10624679386407639</v>
      </c>
    </row>
    <row r="65" spans="1:26" ht="21">
      <c r="A65" s="4">
        <v>64</v>
      </c>
      <c r="B65" s="4">
        <v>2</v>
      </c>
      <c r="C65" s="5">
        <v>12.12</v>
      </c>
      <c r="D65" s="4">
        <v>2</v>
      </c>
      <c r="E65" s="4">
        <v>148</v>
      </c>
      <c r="F65" s="4" t="s">
        <v>14</v>
      </c>
      <c r="G65" s="5" t="s">
        <v>79</v>
      </c>
      <c r="H65" s="4" t="s">
        <v>1</v>
      </c>
      <c r="I65" s="10" t="s">
        <v>30</v>
      </c>
      <c r="J65" s="4" t="s">
        <v>18</v>
      </c>
      <c r="K65" s="22"/>
      <c r="L65" s="6">
        <v>45154</v>
      </c>
      <c r="M65">
        <v>2717.3</v>
      </c>
      <c r="N65">
        <v>7356.5</v>
      </c>
      <c r="O65">
        <v>15279.3</v>
      </c>
      <c r="P65">
        <v>51.94</v>
      </c>
      <c r="Q65">
        <v>142.31299999999999</v>
      </c>
      <c r="R65">
        <v>406.017</v>
      </c>
      <c r="S65">
        <v>36</v>
      </c>
      <c r="T65">
        <v>82</v>
      </c>
      <c r="U65">
        <v>47</v>
      </c>
      <c r="V65">
        <v>260.77499999999998</v>
      </c>
      <c r="W65" s="4"/>
      <c r="X65" s="4" t="s">
        <v>18</v>
      </c>
      <c r="Y65" s="4">
        <f>SUM(Table1[[#This Row],[ZONE1_DISTANCE]:[ZONE3_DISTANCE]])</f>
        <v>25353.1</v>
      </c>
      <c r="Z65" s="4">
        <f>Table1[[#This Row],[ZONE1_DISTANCE]]/Table1[[#This Row],[TOTAL_DISTANCE]]</f>
        <v>0.10717821489285335</v>
      </c>
    </row>
    <row r="66" spans="1:26" ht="21">
      <c r="A66" s="4">
        <v>80</v>
      </c>
      <c r="B66" s="4">
        <v>2</v>
      </c>
      <c r="C66" s="5">
        <v>14.02</v>
      </c>
      <c r="D66" s="4">
        <v>2</v>
      </c>
      <c r="E66" s="4">
        <v>148</v>
      </c>
      <c r="F66" s="4" t="s">
        <v>14</v>
      </c>
      <c r="G66" s="5" t="s">
        <v>80</v>
      </c>
      <c r="H66" s="4" t="s">
        <v>2</v>
      </c>
      <c r="I66" s="10" t="s">
        <v>31</v>
      </c>
      <c r="J66" s="4" t="s">
        <v>18</v>
      </c>
      <c r="K66" s="22" t="s">
        <v>66</v>
      </c>
      <c r="L66" s="6">
        <v>45154</v>
      </c>
      <c r="M66">
        <v>9817.2000000000007</v>
      </c>
      <c r="N66">
        <v>5422.3</v>
      </c>
      <c r="O66">
        <v>2281.1</v>
      </c>
      <c r="P66">
        <v>372.65800000000002</v>
      </c>
      <c r="Q66">
        <v>178.85599999999999</v>
      </c>
      <c r="R66">
        <v>48.725999999999999</v>
      </c>
      <c r="S66">
        <v>37</v>
      </c>
      <c r="T66">
        <v>59</v>
      </c>
      <c r="U66">
        <v>23</v>
      </c>
      <c r="V66">
        <v>172.809</v>
      </c>
      <c r="W66" s="4"/>
      <c r="X66" s="4" t="s">
        <v>18</v>
      </c>
      <c r="Y66" s="4">
        <f>SUM(Table1[[#This Row],[ZONE1_DISTANCE]:[ZONE3_DISTANCE]])</f>
        <v>17520.599999999999</v>
      </c>
      <c r="Z66" s="4">
        <f>Table1[[#This Row],[ZONE1_DISTANCE]]/Table1[[#This Row],[TOTAL_DISTANCE]]</f>
        <v>0.56032327660011649</v>
      </c>
    </row>
    <row r="67" spans="1:26" ht="21">
      <c r="A67" s="4">
        <v>57</v>
      </c>
      <c r="B67" s="4">
        <v>2</v>
      </c>
      <c r="C67" s="5">
        <v>11.4</v>
      </c>
      <c r="D67" s="4">
        <v>3</v>
      </c>
      <c r="E67" s="4">
        <v>139</v>
      </c>
      <c r="F67" s="4" t="s">
        <v>13</v>
      </c>
      <c r="G67" s="5" t="s">
        <v>78</v>
      </c>
      <c r="H67" s="4" t="s">
        <v>1</v>
      </c>
      <c r="I67" s="9"/>
      <c r="J67" s="4" t="s">
        <v>18</v>
      </c>
      <c r="K67" s="22"/>
      <c r="L67" s="6">
        <v>45154</v>
      </c>
      <c r="M67">
        <v>1489.7</v>
      </c>
      <c r="N67">
        <v>14143.5</v>
      </c>
      <c r="O67">
        <v>8373.7999999999993</v>
      </c>
      <c r="P67">
        <v>36.468000000000004</v>
      </c>
      <c r="Q67">
        <v>343.33499999999998</v>
      </c>
      <c r="R67">
        <v>220.48500000000001</v>
      </c>
      <c r="S67">
        <v>38</v>
      </c>
      <c r="T67">
        <v>103</v>
      </c>
      <c r="U67">
        <v>65</v>
      </c>
      <c r="V67">
        <v>175.78399999999999</v>
      </c>
      <c r="W67" s="4"/>
      <c r="X67" s="4" t="s">
        <v>18</v>
      </c>
      <c r="Y67" s="4">
        <f>SUM(Table1[[#This Row],[ZONE1_DISTANCE]:[ZONE3_DISTANCE]])</f>
        <v>24007</v>
      </c>
      <c r="Z67" s="4">
        <f>Table1[[#This Row],[ZONE1_DISTANCE]]/Table1[[#This Row],[TOTAL_DISTANCE]]</f>
        <v>6.205273461906944E-2</v>
      </c>
    </row>
    <row r="68" spans="1:26" ht="21">
      <c r="A68" s="4">
        <v>49</v>
      </c>
      <c r="B68" s="4">
        <v>2</v>
      </c>
      <c r="C68" s="5">
        <v>11.07</v>
      </c>
      <c r="D68" s="4">
        <v>1</v>
      </c>
      <c r="E68" s="4">
        <v>139</v>
      </c>
      <c r="F68" s="4" t="s">
        <v>13</v>
      </c>
      <c r="G68" s="5" t="s">
        <v>78</v>
      </c>
      <c r="H68" s="4" t="s">
        <v>2</v>
      </c>
      <c r="I68" s="9" t="s">
        <v>29</v>
      </c>
      <c r="J68" s="4" t="s">
        <v>18</v>
      </c>
      <c r="K68" s="22" t="s">
        <v>60</v>
      </c>
      <c r="L68" s="6">
        <v>45154</v>
      </c>
      <c r="M68">
        <v>5426.4</v>
      </c>
      <c r="N68">
        <v>7537.5</v>
      </c>
      <c r="O68">
        <v>12101.9</v>
      </c>
      <c r="P68">
        <v>110.09699999999999</v>
      </c>
      <c r="Q68">
        <v>150.04400000000001</v>
      </c>
      <c r="R68">
        <v>340.09199999999998</v>
      </c>
      <c r="S68">
        <v>39</v>
      </c>
      <c r="T68">
        <v>71</v>
      </c>
      <c r="U68">
        <v>33</v>
      </c>
      <c r="V68">
        <v>120.717</v>
      </c>
      <c r="W68" s="4"/>
      <c r="X68" s="4" t="s">
        <v>18</v>
      </c>
      <c r="Y68" s="4">
        <f>SUM(Table1[[#This Row],[ZONE1_DISTANCE]:[ZONE3_DISTANCE]])</f>
        <v>25065.8</v>
      </c>
      <c r="Z68" s="4">
        <f>Table1[[#This Row],[ZONE1_DISTANCE]]/Table1[[#This Row],[TOTAL_DISTANCE]]</f>
        <v>0.21648620829975504</v>
      </c>
    </row>
    <row r="69" spans="1:26" ht="21">
      <c r="A69" s="4">
        <v>63</v>
      </c>
      <c r="B69" s="4">
        <v>2</v>
      </c>
      <c r="C69" s="5">
        <v>12.12</v>
      </c>
      <c r="D69" s="4">
        <v>1</v>
      </c>
      <c r="E69" s="4">
        <v>148</v>
      </c>
      <c r="F69" s="4" t="s">
        <v>13</v>
      </c>
      <c r="G69" s="5" t="s">
        <v>79</v>
      </c>
      <c r="H69" s="4" t="s">
        <v>1</v>
      </c>
      <c r="I69" s="9" t="s">
        <v>29</v>
      </c>
      <c r="J69" s="4" t="s">
        <v>18</v>
      </c>
      <c r="K69" s="22"/>
      <c r="L69" s="6">
        <v>45154</v>
      </c>
      <c r="M69">
        <v>3275.7</v>
      </c>
      <c r="N69">
        <v>9174</v>
      </c>
      <c r="O69">
        <v>13346.2</v>
      </c>
      <c r="P69">
        <v>53.618000000000002</v>
      </c>
      <c r="Q69">
        <v>167.506</v>
      </c>
      <c r="R69">
        <v>379.14499999999998</v>
      </c>
      <c r="S69">
        <v>39</v>
      </c>
      <c r="T69">
        <v>87</v>
      </c>
      <c r="U69">
        <v>49</v>
      </c>
      <c r="V69">
        <v>145.72200000000001</v>
      </c>
      <c r="W69" s="4"/>
      <c r="X69" s="4" t="s">
        <v>18</v>
      </c>
      <c r="Y69" s="4">
        <f>SUM(Table1[[#This Row],[ZONE1_DISTANCE]:[ZONE3_DISTANCE]])</f>
        <v>25795.9</v>
      </c>
      <c r="Z69" s="4">
        <f>Table1[[#This Row],[ZONE1_DISTANCE]]/Table1[[#This Row],[TOTAL_DISTANCE]]</f>
        <v>0.12698529611294818</v>
      </c>
    </row>
    <row r="70" spans="1:26" ht="21">
      <c r="A70" s="4">
        <v>31</v>
      </c>
      <c r="B70" s="4">
        <v>1</v>
      </c>
      <c r="C70" s="5">
        <v>15.03</v>
      </c>
      <c r="D70" s="4">
        <v>1</v>
      </c>
      <c r="E70" s="4">
        <v>148</v>
      </c>
      <c r="F70" s="4" t="s">
        <v>13</v>
      </c>
      <c r="G70" s="5" t="s">
        <v>80</v>
      </c>
      <c r="H70" s="4" t="s">
        <v>2</v>
      </c>
      <c r="I70" s="9" t="s">
        <v>29</v>
      </c>
      <c r="J70" s="4" t="s">
        <v>18</v>
      </c>
      <c r="K70" s="22"/>
      <c r="L70" s="6">
        <v>45153</v>
      </c>
      <c r="M70">
        <v>5670.6</v>
      </c>
      <c r="N70">
        <v>7206.7</v>
      </c>
      <c r="O70">
        <v>12155.1</v>
      </c>
      <c r="P70">
        <v>127.392</v>
      </c>
      <c r="Q70">
        <v>158.39599999999999</v>
      </c>
      <c r="R70">
        <v>315.404</v>
      </c>
      <c r="S70">
        <v>40</v>
      </c>
      <c r="T70">
        <v>80</v>
      </c>
      <c r="U70">
        <v>41</v>
      </c>
      <c r="V70">
        <v>125.9</v>
      </c>
      <c r="W70" s="4"/>
      <c r="X70" s="4" t="s">
        <v>18</v>
      </c>
      <c r="Y70" s="4">
        <f>SUM(Table1[[#This Row],[ZONE1_DISTANCE]:[ZONE3_DISTANCE]])</f>
        <v>25032.400000000001</v>
      </c>
      <c r="Z70" s="4">
        <f>Table1[[#This Row],[ZONE1_DISTANCE]]/Table1[[#This Row],[TOTAL_DISTANCE]]</f>
        <v>0.22653041658011216</v>
      </c>
    </row>
    <row r="71" spans="1:26" ht="21">
      <c r="A71" s="4">
        <v>91</v>
      </c>
      <c r="B71" s="4">
        <v>2</v>
      </c>
      <c r="C71" s="5">
        <v>15.09</v>
      </c>
      <c r="D71" s="4">
        <v>1</v>
      </c>
      <c r="E71" s="4">
        <v>148</v>
      </c>
      <c r="F71" s="4" t="s">
        <v>13</v>
      </c>
      <c r="G71" s="5" t="s">
        <v>80</v>
      </c>
      <c r="H71" s="4" t="s">
        <v>1</v>
      </c>
      <c r="I71" s="10" t="s">
        <v>31</v>
      </c>
      <c r="J71" s="4" t="s">
        <v>18</v>
      </c>
      <c r="K71" s="22" t="s">
        <v>70</v>
      </c>
      <c r="L71" s="6">
        <v>45154</v>
      </c>
      <c r="M71">
        <v>2556.9</v>
      </c>
      <c r="N71">
        <v>8942.4</v>
      </c>
      <c r="O71">
        <v>14834</v>
      </c>
      <c r="P71">
        <v>45.945</v>
      </c>
      <c r="Q71">
        <v>142.33699999999999</v>
      </c>
      <c r="R71">
        <v>411.97199999999998</v>
      </c>
      <c r="S71">
        <v>41</v>
      </c>
      <c r="T71">
        <v>113</v>
      </c>
      <c r="U71">
        <v>73</v>
      </c>
      <c r="V71">
        <v>91.718999999999994</v>
      </c>
      <c r="W71" s="4" t="s">
        <v>46</v>
      </c>
      <c r="X71" s="4" t="s">
        <v>19</v>
      </c>
      <c r="Y71" s="4">
        <f>SUM(Table1[[#This Row],[ZONE1_DISTANCE]:[ZONE3_DISTANCE]])</f>
        <v>26333.3</v>
      </c>
      <c r="Z71" s="4">
        <f>Table1[[#This Row],[ZONE1_DISTANCE]]/Table1[[#This Row],[TOTAL_DISTANCE]]</f>
        <v>9.7097591262773758E-2</v>
      </c>
    </row>
    <row r="72" spans="1:26" ht="21">
      <c r="A72" s="4">
        <v>81</v>
      </c>
      <c r="B72" s="4">
        <v>2</v>
      </c>
      <c r="C72" s="5">
        <v>14.14</v>
      </c>
      <c r="D72" s="4">
        <v>1</v>
      </c>
      <c r="E72" s="4">
        <v>139</v>
      </c>
      <c r="F72" s="4" t="s">
        <v>13</v>
      </c>
      <c r="G72" s="5" t="s">
        <v>80</v>
      </c>
      <c r="H72" s="4" t="s">
        <v>1</v>
      </c>
      <c r="I72" s="9" t="s">
        <v>29</v>
      </c>
      <c r="J72" s="4" t="s">
        <v>18</v>
      </c>
      <c r="K72" s="22"/>
      <c r="L72" s="6">
        <v>45154</v>
      </c>
      <c r="M72">
        <v>3124.8</v>
      </c>
      <c r="N72">
        <v>7334.8</v>
      </c>
      <c r="O72">
        <v>14768.7</v>
      </c>
      <c r="P72">
        <v>59.015999999999998</v>
      </c>
      <c r="Q72">
        <v>130.37299999999999</v>
      </c>
      <c r="R72">
        <v>410.86599999999999</v>
      </c>
      <c r="S72">
        <v>42</v>
      </c>
      <c r="T72">
        <v>87</v>
      </c>
      <c r="U72">
        <v>46</v>
      </c>
      <c r="V72">
        <v>185.78899999999999</v>
      </c>
      <c r="W72" s="4"/>
      <c r="X72" s="4" t="s">
        <v>18</v>
      </c>
      <c r="Y72" s="4">
        <f>SUM(Table1[[#This Row],[ZONE1_DISTANCE]:[ZONE3_DISTANCE]])</f>
        <v>25228.300000000003</v>
      </c>
      <c r="Z72" s="4">
        <f>Table1[[#This Row],[ZONE1_DISTANCE]]/Table1[[#This Row],[TOTAL_DISTANCE]]</f>
        <v>0.12386090224073758</v>
      </c>
    </row>
    <row r="73" spans="1:26" ht="21">
      <c r="A73" s="4">
        <v>18</v>
      </c>
      <c r="B73" s="4">
        <v>1</v>
      </c>
      <c r="C73" s="5">
        <v>13.03</v>
      </c>
      <c r="D73" s="4">
        <v>2</v>
      </c>
      <c r="E73" s="4">
        <v>139</v>
      </c>
      <c r="F73" s="4" t="s">
        <v>14</v>
      </c>
      <c r="G73" s="5" t="s">
        <v>79</v>
      </c>
      <c r="H73" s="4" t="s">
        <v>1</v>
      </c>
      <c r="I73" s="9" t="s">
        <v>31</v>
      </c>
      <c r="J73" s="4" t="s">
        <v>18</v>
      </c>
      <c r="K73" s="22" t="s">
        <v>49</v>
      </c>
      <c r="L73" s="6">
        <v>45153</v>
      </c>
      <c r="M73">
        <v>4089.5</v>
      </c>
      <c r="N73">
        <v>14159</v>
      </c>
      <c r="O73">
        <v>1066.5999999999999</v>
      </c>
      <c r="P73">
        <v>111.02200000000001</v>
      </c>
      <c r="Q73">
        <v>475.81599999999997</v>
      </c>
      <c r="R73">
        <v>14.395</v>
      </c>
      <c r="S73">
        <v>44</v>
      </c>
      <c r="T73">
        <v>60</v>
      </c>
      <c r="U73">
        <v>16</v>
      </c>
      <c r="V73">
        <v>253.09800000000001</v>
      </c>
      <c r="W73" s="4"/>
      <c r="X73" s="4" t="s">
        <v>18</v>
      </c>
      <c r="Y73" s="4">
        <f>SUM(Table1[[#This Row],[ZONE1_DISTANCE]:[ZONE3_DISTANCE]])</f>
        <v>19315.099999999999</v>
      </c>
      <c r="Z73" s="4">
        <f>Table1[[#This Row],[ZONE1_DISTANCE]]/Table1[[#This Row],[TOTAL_DISTANCE]]</f>
        <v>0.21172554115691869</v>
      </c>
    </row>
    <row r="74" spans="1:26" ht="21">
      <c r="A74" s="4">
        <v>38</v>
      </c>
      <c r="B74" s="4">
        <v>1</v>
      </c>
      <c r="C74" s="5">
        <v>15.34</v>
      </c>
      <c r="D74" s="4">
        <v>2</v>
      </c>
      <c r="E74" s="4">
        <v>139</v>
      </c>
      <c r="F74" s="4" t="s">
        <v>14</v>
      </c>
      <c r="G74" s="5" t="s">
        <v>80</v>
      </c>
      <c r="H74" s="4" t="s">
        <v>1</v>
      </c>
      <c r="I74" s="9" t="s">
        <v>31</v>
      </c>
      <c r="J74" s="4" t="s">
        <v>18</v>
      </c>
      <c r="K74" s="22" t="s">
        <v>56</v>
      </c>
      <c r="L74" s="6">
        <v>45153</v>
      </c>
      <c r="M74">
        <v>5683.6</v>
      </c>
      <c r="N74">
        <v>8885.2000000000007</v>
      </c>
      <c r="O74">
        <v>8616.6</v>
      </c>
      <c r="P74">
        <v>120.244</v>
      </c>
      <c r="Q74">
        <v>196.755</v>
      </c>
      <c r="R74">
        <v>284.18299999999999</v>
      </c>
      <c r="S74">
        <v>44</v>
      </c>
      <c r="T74">
        <v>91</v>
      </c>
      <c r="U74">
        <v>47</v>
      </c>
      <c r="V74">
        <v>122.285</v>
      </c>
      <c r="W74" s="4"/>
      <c r="X74" s="4" t="s">
        <v>18</v>
      </c>
      <c r="Y74" s="4">
        <f>SUM(Table1[[#This Row],[ZONE1_DISTANCE]:[ZONE3_DISTANCE]])</f>
        <v>23185.4</v>
      </c>
      <c r="Z74" s="4">
        <f>Table1[[#This Row],[ZONE1_DISTANCE]]/Table1[[#This Row],[TOTAL_DISTANCE]]</f>
        <v>0.24513702588698061</v>
      </c>
    </row>
    <row r="75" spans="1:26" ht="21">
      <c r="A75" s="4">
        <v>62</v>
      </c>
      <c r="B75" s="4">
        <v>2</v>
      </c>
      <c r="C75" s="5">
        <v>11.57</v>
      </c>
      <c r="D75" s="4">
        <v>4</v>
      </c>
      <c r="E75" s="4">
        <v>139</v>
      </c>
      <c r="F75" s="4" t="s">
        <v>14</v>
      </c>
      <c r="G75" s="5" t="s">
        <v>78</v>
      </c>
      <c r="H75" s="4" t="s">
        <v>1</v>
      </c>
      <c r="I75" s="10" t="s">
        <v>29</v>
      </c>
      <c r="J75" s="4" t="s">
        <v>18</v>
      </c>
      <c r="K75" s="22"/>
      <c r="L75" s="6">
        <v>45154</v>
      </c>
      <c r="M75">
        <v>4470</v>
      </c>
      <c r="N75">
        <v>10213</v>
      </c>
      <c r="O75">
        <v>10736.9</v>
      </c>
      <c r="P75">
        <v>94.668999999999997</v>
      </c>
      <c r="Q75">
        <v>226.107</v>
      </c>
      <c r="R75">
        <v>279.46800000000002</v>
      </c>
      <c r="S75">
        <v>46</v>
      </c>
      <c r="T75">
        <v>90</v>
      </c>
      <c r="U75">
        <v>45</v>
      </c>
      <c r="V75">
        <v>135.74799999999999</v>
      </c>
      <c r="W75" s="4"/>
      <c r="X75" s="4" t="s">
        <v>18</v>
      </c>
      <c r="Y75" s="4">
        <f>SUM(Table1[[#This Row],[ZONE1_DISTANCE]:[ZONE3_DISTANCE]])</f>
        <v>25419.9</v>
      </c>
      <c r="Z75" s="4">
        <f>Table1[[#This Row],[ZONE1_DISTANCE]]/Table1[[#This Row],[TOTAL_DISTANCE]]</f>
        <v>0.17584648248026152</v>
      </c>
    </row>
    <row r="76" spans="1:26" ht="21">
      <c r="A76" s="4">
        <v>46</v>
      </c>
      <c r="B76" s="4">
        <v>2</v>
      </c>
      <c r="C76" s="5">
        <v>10.48</v>
      </c>
      <c r="D76" s="4">
        <v>4</v>
      </c>
      <c r="E76" s="4">
        <v>139</v>
      </c>
      <c r="F76" s="4" t="s">
        <v>14</v>
      </c>
      <c r="G76" s="5" t="s">
        <v>78</v>
      </c>
      <c r="H76" s="4" t="s">
        <v>2</v>
      </c>
      <c r="I76" s="9" t="s">
        <v>29</v>
      </c>
      <c r="J76" s="4" t="s">
        <v>18</v>
      </c>
      <c r="K76" s="22"/>
      <c r="L76" s="6">
        <v>45154</v>
      </c>
      <c r="M76">
        <v>5186.3999999999996</v>
      </c>
      <c r="N76">
        <v>12182.1</v>
      </c>
      <c r="O76">
        <v>9837.9</v>
      </c>
      <c r="P76">
        <v>111.682</v>
      </c>
      <c r="Q76">
        <v>238.71100000000001</v>
      </c>
      <c r="R76">
        <v>250.77600000000001</v>
      </c>
      <c r="S76">
        <v>50</v>
      </c>
      <c r="T76">
        <v>102</v>
      </c>
      <c r="U76">
        <v>52</v>
      </c>
      <c r="V76">
        <v>97.89</v>
      </c>
      <c r="W76" s="4"/>
      <c r="X76" s="4" t="s">
        <v>18</v>
      </c>
      <c r="Y76" s="4">
        <f>SUM(Table1[[#This Row],[ZONE1_DISTANCE]:[ZONE3_DISTANCE]])</f>
        <v>27206.400000000001</v>
      </c>
      <c r="Z76" s="4">
        <f>Table1[[#This Row],[ZONE1_DISTANCE]]/Table1[[#This Row],[TOTAL_DISTANCE]]</f>
        <v>0.19063161609033166</v>
      </c>
    </row>
    <row r="77" spans="1:26" ht="21">
      <c r="A77" s="4">
        <v>92</v>
      </c>
      <c r="B77" s="4">
        <v>2</v>
      </c>
      <c r="C77" s="5">
        <v>15.09</v>
      </c>
      <c r="D77" s="4">
        <v>1</v>
      </c>
      <c r="E77" s="4">
        <v>148</v>
      </c>
      <c r="F77" s="4" t="s">
        <v>14</v>
      </c>
      <c r="G77" s="5" t="s">
        <v>80</v>
      </c>
      <c r="H77" s="4" t="s">
        <v>1</v>
      </c>
      <c r="I77" s="9" t="s">
        <v>31</v>
      </c>
      <c r="J77" s="4" t="s">
        <v>18</v>
      </c>
      <c r="K77" s="22" t="s">
        <v>70</v>
      </c>
      <c r="L77" s="6">
        <v>45154</v>
      </c>
      <c r="M77">
        <v>3553.7</v>
      </c>
      <c r="N77">
        <v>14639.7</v>
      </c>
      <c r="O77">
        <v>7392.4</v>
      </c>
      <c r="P77">
        <v>65.016000000000005</v>
      </c>
      <c r="Q77">
        <v>379.226</v>
      </c>
      <c r="R77">
        <v>156.012</v>
      </c>
      <c r="S77">
        <v>52</v>
      </c>
      <c r="T77">
        <v>108</v>
      </c>
      <c r="U77">
        <v>56</v>
      </c>
      <c r="V77">
        <v>131.727</v>
      </c>
      <c r="W77" s="4"/>
      <c r="X77" s="4" t="s">
        <v>18</v>
      </c>
      <c r="Y77" s="4">
        <f>SUM(Table1[[#This Row],[ZONE1_DISTANCE]:[ZONE3_DISTANCE]])</f>
        <v>25585.800000000003</v>
      </c>
      <c r="Z77" s="4">
        <f>Table1[[#This Row],[ZONE1_DISTANCE]]/Table1[[#This Row],[TOTAL_DISTANCE]]</f>
        <v>0.13889344870983122</v>
      </c>
    </row>
    <row r="78" spans="1:26" ht="21">
      <c r="A78" s="4">
        <v>20</v>
      </c>
      <c r="B78" s="4">
        <v>1</v>
      </c>
      <c r="C78" s="5">
        <v>13.12</v>
      </c>
      <c r="D78" s="4">
        <v>4</v>
      </c>
      <c r="E78" s="4">
        <v>148</v>
      </c>
      <c r="F78" s="4" t="s">
        <v>14</v>
      </c>
      <c r="G78" s="5" t="s">
        <v>79</v>
      </c>
      <c r="H78" s="4" t="s">
        <v>2</v>
      </c>
      <c r="I78" s="9" t="s">
        <v>31</v>
      </c>
      <c r="J78" s="4" t="s">
        <v>18</v>
      </c>
      <c r="K78" s="22" t="s">
        <v>50</v>
      </c>
      <c r="L78" s="6">
        <v>45153</v>
      </c>
      <c r="M78">
        <v>8725</v>
      </c>
      <c r="N78">
        <v>7677.9</v>
      </c>
      <c r="O78">
        <v>7295.1</v>
      </c>
      <c r="P78">
        <v>219.72499999999999</v>
      </c>
      <c r="Q78">
        <v>165.53399999999999</v>
      </c>
      <c r="R78">
        <v>216.107</v>
      </c>
      <c r="S78">
        <v>53</v>
      </c>
      <c r="T78">
        <v>85</v>
      </c>
      <c r="U78">
        <v>32</v>
      </c>
      <c r="V78">
        <v>70.028999999999996</v>
      </c>
      <c r="W78" s="4"/>
      <c r="X78" s="4" t="s">
        <v>18</v>
      </c>
      <c r="Y78" s="4">
        <f>SUM(Table1[[#This Row],[ZONE1_DISTANCE]:[ZONE3_DISTANCE]])</f>
        <v>23698</v>
      </c>
      <c r="Z78" s="4">
        <f>Table1[[#This Row],[ZONE1_DISTANCE]]/Table1[[#This Row],[TOTAL_DISTANCE]]</f>
        <v>0.36817452949616003</v>
      </c>
    </row>
    <row r="79" spans="1:26" ht="21">
      <c r="A79" s="4">
        <v>44</v>
      </c>
      <c r="B79" s="4">
        <v>1</v>
      </c>
      <c r="C79" s="5">
        <v>15.59</v>
      </c>
      <c r="D79" s="4">
        <v>2</v>
      </c>
      <c r="E79" s="4">
        <v>148</v>
      </c>
      <c r="F79" s="4" t="s">
        <v>14</v>
      </c>
      <c r="G79" s="5" t="s">
        <v>80</v>
      </c>
      <c r="H79" s="4" t="s">
        <v>1</v>
      </c>
      <c r="I79" s="9" t="s">
        <v>30</v>
      </c>
      <c r="J79" s="4" t="s">
        <v>18</v>
      </c>
      <c r="K79" s="22" t="s">
        <v>48</v>
      </c>
      <c r="L79" s="6">
        <v>45153</v>
      </c>
      <c r="M79">
        <v>22626.400000000001</v>
      </c>
      <c r="N79">
        <v>8186.9</v>
      </c>
      <c r="O79">
        <v>6631</v>
      </c>
      <c r="P79">
        <v>447.80900000000003</v>
      </c>
      <c r="Q79">
        <v>82.251999999999995</v>
      </c>
      <c r="R79">
        <v>71.057000000000002</v>
      </c>
      <c r="S79">
        <v>53</v>
      </c>
      <c r="T79">
        <v>101</v>
      </c>
      <c r="U79">
        <v>49</v>
      </c>
      <c r="V79">
        <v>105.542</v>
      </c>
      <c r="W79" s="4" t="s">
        <v>58</v>
      </c>
      <c r="X79" s="4" t="s">
        <v>19</v>
      </c>
      <c r="Y79" s="4">
        <f>SUM(Table1[[#This Row],[ZONE1_DISTANCE]:[ZONE3_DISTANCE]])</f>
        <v>37444.300000000003</v>
      </c>
      <c r="Z79" s="4">
        <f>Table1[[#This Row],[ZONE1_DISTANCE]]/Table1[[#This Row],[TOTAL_DISTANCE]]</f>
        <v>0.60426820637587031</v>
      </c>
    </row>
    <row r="80" spans="1:26" ht="21">
      <c r="A80" s="4">
        <v>1</v>
      </c>
      <c r="B80" s="4">
        <v>1</v>
      </c>
      <c r="C80" s="5">
        <v>11.22</v>
      </c>
      <c r="D80" s="4">
        <v>1</v>
      </c>
      <c r="E80" s="4">
        <v>139</v>
      </c>
      <c r="F80" s="4" t="s">
        <v>14</v>
      </c>
      <c r="G80" s="5" t="s">
        <v>78</v>
      </c>
      <c r="H80" s="4" t="s">
        <v>2</v>
      </c>
      <c r="I80" s="9" t="s">
        <v>29</v>
      </c>
      <c r="J80" s="4" t="s">
        <v>18</v>
      </c>
      <c r="K80" s="22" t="s">
        <v>42</v>
      </c>
      <c r="L80" s="6">
        <v>45153</v>
      </c>
      <c r="M80">
        <v>6152.7</v>
      </c>
      <c r="N80">
        <v>10316.200000000001</v>
      </c>
      <c r="O80">
        <v>7930.3</v>
      </c>
      <c r="P80">
        <v>146.541</v>
      </c>
      <c r="Q80">
        <v>227.79499999999999</v>
      </c>
      <c r="R80">
        <v>226.923</v>
      </c>
      <c r="S80">
        <v>57</v>
      </c>
      <c r="T80">
        <v>102</v>
      </c>
      <c r="U80">
        <v>45</v>
      </c>
      <c r="V80">
        <v>18.712</v>
      </c>
      <c r="W80" s="4"/>
      <c r="X80" s="4" t="s">
        <v>18</v>
      </c>
      <c r="Y80" s="4">
        <f>SUM(Table1[[#This Row],[ZONE1_DISTANCE]:[ZONE3_DISTANCE]])</f>
        <v>24399.200000000001</v>
      </c>
      <c r="Z80" s="4">
        <f>Table1[[#This Row],[ZONE1_DISTANCE]]/Table1[[#This Row],[TOTAL_DISTANCE]]</f>
        <v>0.25216810387225808</v>
      </c>
    </row>
    <row r="81" spans="1:26" ht="21">
      <c r="A81" s="4">
        <v>25</v>
      </c>
      <c r="B81" s="4">
        <v>1</v>
      </c>
      <c r="C81" s="5">
        <v>14.32</v>
      </c>
      <c r="D81" s="4">
        <v>3</v>
      </c>
      <c r="E81" s="4">
        <v>139</v>
      </c>
      <c r="F81" s="4" t="s">
        <v>13</v>
      </c>
      <c r="G81" s="5" t="s">
        <v>80</v>
      </c>
      <c r="H81" s="4" t="s">
        <v>2</v>
      </c>
      <c r="I81" s="9" t="s">
        <v>29</v>
      </c>
      <c r="J81" s="4" t="s">
        <v>18</v>
      </c>
      <c r="K81" s="22" t="s">
        <v>54</v>
      </c>
      <c r="L81" s="6">
        <v>45153</v>
      </c>
      <c r="M81">
        <v>5867.4</v>
      </c>
      <c r="N81">
        <v>13897.9</v>
      </c>
      <c r="O81">
        <v>11148.7</v>
      </c>
      <c r="P81">
        <v>107.58199999999999</v>
      </c>
      <c r="Q81">
        <v>245.55600000000001</v>
      </c>
      <c r="R81">
        <v>248.024</v>
      </c>
      <c r="S81">
        <v>58</v>
      </c>
      <c r="T81">
        <v>136</v>
      </c>
      <c r="U81">
        <v>78</v>
      </c>
      <c r="V81">
        <v>193.43799999999999</v>
      </c>
      <c r="W81" s="4"/>
      <c r="X81" s="4" t="s">
        <v>18</v>
      </c>
      <c r="Y81" s="4">
        <f>SUM(Table1[[#This Row],[ZONE1_DISTANCE]:[ZONE3_DISTANCE]])</f>
        <v>30914</v>
      </c>
      <c r="Z81" s="4">
        <f>Table1[[#This Row],[ZONE1_DISTANCE]]/Table1[[#This Row],[TOTAL_DISTANCE]]</f>
        <v>0.18979750274956328</v>
      </c>
    </row>
    <row r="82" spans="1:26" ht="21">
      <c r="A82" s="4">
        <v>47</v>
      </c>
      <c r="B82" s="4">
        <v>2</v>
      </c>
      <c r="C82" s="5">
        <v>10.53</v>
      </c>
      <c r="D82" s="4">
        <v>1</v>
      </c>
      <c r="E82" s="4">
        <v>148</v>
      </c>
      <c r="F82" s="4" t="s">
        <v>13</v>
      </c>
      <c r="G82" s="5" t="s">
        <v>78</v>
      </c>
      <c r="H82" s="4" t="s">
        <v>1</v>
      </c>
      <c r="I82" s="9" t="s">
        <v>29</v>
      </c>
      <c r="J82" s="4" t="s">
        <v>18</v>
      </c>
      <c r="K82" s="22" t="s">
        <v>59</v>
      </c>
      <c r="L82" s="6">
        <v>45154</v>
      </c>
      <c r="M82">
        <v>5645.6</v>
      </c>
      <c r="N82">
        <v>12320.5</v>
      </c>
      <c r="O82">
        <v>14557.4</v>
      </c>
      <c r="P82">
        <v>91.828000000000003</v>
      </c>
      <c r="Q82">
        <v>191.02600000000001</v>
      </c>
      <c r="R82">
        <v>318.32600000000002</v>
      </c>
      <c r="S82">
        <v>62</v>
      </c>
      <c r="T82">
        <v>136</v>
      </c>
      <c r="U82">
        <v>74</v>
      </c>
      <c r="V82">
        <v>142.03700000000001</v>
      </c>
      <c r="W82" s="4"/>
      <c r="X82" s="4" t="s">
        <v>18</v>
      </c>
      <c r="Y82" s="4">
        <f>SUM(Table1[[#This Row],[ZONE1_DISTANCE]:[ZONE3_DISTANCE]])</f>
        <v>32523.5</v>
      </c>
      <c r="Z82" s="4">
        <f>Table1[[#This Row],[ZONE1_DISTANCE]]/Table1[[#This Row],[TOTAL_DISTANCE]]</f>
        <v>0.17358525373960368</v>
      </c>
    </row>
    <row r="83" spans="1:26" ht="21">
      <c r="A83" s="4">
        <v>67</v>
      </c>
      <c r="B83" s="4">
        <v>2</v>
      </c>
      <c r="C83" s="5">
        <v>12.28</v>
      </c>
      <c r="D83" s="4">
        <v>3</v>
      </c>
      <c r="E83" s="4">
        <v>148</v>
      </c>
      <c r="F83" s="4" t="s">
        <v>13</v>
      </c>
      <c r="G83" s="5" t="s">
        <v>79</v>
      </c>
      <c r="H83" s="4" t="s">
        <v>1</v>
      </c>
      <c r="I83" s="10" t="s">
        <v>30</v>
      </c>
      <c r="J83" s="4" t="s">
        <v>18</v>
      </c>
      <c r="K83" s="22" t="s">
        <v>51</v>
      </c>
      <c r="L83" s="6">
        <v>45154</v>
      </c>
      <c r="M83">
        <v>4590.3</v>
      </c>
      <c r="N83">
        <v>11741.2</v>
      </c>
      <c r="O83">
        <v>12448.9</v>
      </c>
      <c r="P83">
        <v>82.683000000000007</v>
      </c>
      <c r="Q83">
        <v>222.19800000000001</v>
      </c>
      <c r="R83">
        <v>295.36799999999999</v>
      </c>
      <c r="S83">
        <v>62</v>
      </c>
      <c r="T83">
        <v>154</v>
      </c>
      <c r="U83">
        <v>91</v>
      </c>
      <c r="V83">
        <v>91.2</v>
      </c>
      <c r="W83" s="4"/>
      <c r="X83" s="4" t="s">
        <v>18</v>
      </c>
      <c r="Y83" s="4">
        <f>SUM(Table1[[#This Row],[ZONE1_DISTANCE]:[ZONE3_DISTANCE]])</f>
        <v>28780.400000000001</v>
      </c>
      <c r="Z83" s="4">
        <f>Table1[[#This Row],[ZONE1_DISTANCE]]/Table1[[#This Row],[TOTAL_DISTANCE]]</f>
        <v>0.15949396116801712</v>
      </c>
    </row>
    <row r="84" spans="1:26" ht="21">
      <c r="A84" s="4">
        <v>11</v>
      </c>
      <c r="B84" s="4">
        <v>1</v>
      </c>
      <c r="C84" s="5">
        <v>12.08</v>
      </c>
      <c r="D84" s="4">
        <v>1</v>
      </c>
      <c r="E84" s="4">
        <v>148</v>
      </c>
      <c r="F84" s="4" t="s">
        <v>13</v>
      </c>
      <c r="G84" s="5" t="s">
        <v>79</v>
      </c>
      <c r="H84" s="4" t="s">
        <v>1</v>
      </c>
      <c r="I84" s="9" t="s">
        <v>29</v>
      </c>
      <c r="J84" s="4" t="s">
        <v>19</v>
      </c>
      <c r="K84" s="22" t="s">
        <v>47</v>
      </c>
      <c r="L84" s="6">
        <v>45153</v>
      </c>
      <c r="M84">
        <v>6191.5</v>
      </c>
      <c r="N84">
        <v>10580.6</v>
      </c>
      <c r="O84">
        <v>13146.6</v>
      </c>
      <c r="P84">
        <v>115.831</v>
      </c>
      <c r="Q84">
        <v>175.55500000000001</v>
      </c>
      <c r="R84">
        <v>309.80399999999997</v>
      </c>
      <c r="S84">
        <v>67</v>
      </c>
      <c r="T84">
        <v>129</v>
      </c>
      <c r="U84">
        <v>68</v>
      </c>
      <c r="V84">
        <v>322.85599999999999</v>
      </c>
      <c r="W84" s="4" t="s">
        <v>46</v>
      </c>
      <c r="X84" s="4" t="s">
        <v>19</v>
      </c>
      <c r="Y84" s="4">
        <f>SUM(Table1[[#This Row],[ZONE1_DISTANCE]:[ZONE3_DISTANCE]])</f>
        <v>29918.699999999997</v>
      </c>
      <c r="Z84" s="4">
        <f>Table1[[#This Row],[ZONE1_DISTANCE]]/Table1[[#This Row],[TOTAL_DISTANCE]]</f>
        <v>0.20694415198521329</v>
      </c>
    </row>
    <row r="85" spans="1:26" ht="21">
      <c r="A85" s="4">
        <v>66</v>
      </c>
      <c r="B85" s="4">
        <v>2</v>
      </c>
      <c r="C85" s="5">
        <v>12.19</v>
      </c>
      <c r="D85" s="4">
        <v>2</v>
      </c>
      <c r="E85" s="4">
        <v>139</v>
      </c>
      <c r="F85" s="4" t="s">
        <v>14</v>
      </c>
      <c r="G85" s="5" t="s">
        <v>79</v>
      </c>
      <c r="H85" s="4" t="s">
        <v>2</v>
      </c>
      <c r="I85" s="10" t="s">
        <v>29</v>
      </c>
      <c r="J85" s="4" t="s">
        <v>18</v>
      </c>
      <c r="K85" s="22" t="s">
        <v>63</v>
      </c>
      <c r="L85" s="6">
        <v>45154</v>
      </c>
      <c r="M85">
        <v>4224.2</v>
      </c>
      <c r="N85">
        <v>16182.8</v>
      </c>
      <c r="O85">
        <v>11670.7</v>
      </c>
      <c r="P85">
        <v>77.2</v>
      </c>
      <c r="Q85">
        <v>277.99599999999998</v>
      </c>
      <c r="R85">
        <v>245.04900000000001</v>
      </c>
      <c r="S85">
        <v>67</v>
      </c>
      <c r="T85">
        <v>145</v>
      </c>
      <c r="U85">
        <v>78</v>
      </c>
      <c r="V85">
        <v>78.94</v>
      </c>
      <c r="W85" s="4" t="s">
        <v>46</v>
      </c>
      <c r="X85" s="4" t="s">
        <v>19</v>
      </c>
      <c r="Y85" s="4">
        <f>SUM(Table1[[#This Row],[ZONE1_DISTANCE]:[ZONE3_DISTANCE]])</f>
        <v>32077.7</v>
      </c>
      <c r="Z85" s="4">
        <f>Table1[[#This Row],[ZONE1_DISTANCE]]/Table1[[#This Row],[TOTAL_DISTANCE]]</f>
        <v>0.13168649872029478</v>
      </c>
    </row>
    <row r="86" spans="1:26" ht="21">
      <c r="A86" s="4">
        <v>27</v>
      </c>
      <c r="B86" s="4">
        <v>1</v>
      </c>
      <c r="C86" s="5">
        <v>14.37</v>
      </c>
      <c r="D86" s="4">
        <v>1</v>
      </c>
      <c r="E86" s="4">
        <v>148</v>
      </c>
      <c r="F86" s="4" t="s">
        <v>13</v>
      </c>
      <c r="G86" s="5" t="s">
        <v>80</v>
      </c>
      <c r="H86" s="4" t="s">
        <v>1</v>
      </c>
      <c r="I86" s="10" t="s">
        <v>29</v>
      </c>
      <c r="J86" s="4" t="s">
        <v>18</v>
      </c>
      <c r="K86" s="22"/>
      <c r="L86" s="6">
        <v>45153</v>
      </c>
      <c r="M86">
        <v>3474.5</v>
      </c>
      <c r="N86">
        <v>22465.7</v>
      </c>
      <c r="O86">
        <v>7289.3</v>
      </c>
      <c r="P86">
        <v>59.74</v>
      </c>
      <c r="Q86">
        <v>400.97199999999998</v>
      </c>
      <c r="R86">
        <v>140.53100000000001</v>
      </c>
      <c r="S86">
        <v>69</v>
      </c>
      <c r="T86">
        <v>156</v>
      </c>
      <c r="U86">
        <v>86</v>
      </c>
      <c r="V86">
        <v>80.822999999999993</v>
      </c>
      <c r="W86" s="4"/>
      <c r="X86" s="4" t="s">
        <v>18</v>
      </c>
      <c r="Y86" s="4">
        <f>SUM(Table1[[#This Row],[ZONE1_DISTANCE]:[ZONE3_DISTANCE]])</f>
        <v>33229.5</v>
      </c>
      <c r="Z86" s="4">
        <f>Table1[[#This Row],[ZONE1_DISTANCE]]/Table1[[#This Row],[TOTAL_DISTANCE]]</f>
        <v>0.10456070660106231</v>
      </c>
    </row>
    <row r="87" spans="1:26" ht="21">
      <c r="A87" s="4">
        <v>88</v>
      </c>
      <c r="B87" s="4">
        <v>2</v>
      </c>
      <c r="C87" s="5">
        <v>14.43</v>
      </c>
      <c r="D87" s="4">
        <v>2</v>
      </c>
      <c r="E87" s="4">
        <v>148</v>
      </c>
      <c r="F87" s="4" t="s">
        <v>14</v>
      </c>
      <c r="G87" s="5" t="s">
        <v>80</v>
      </c>
      <c r="H87" s="4" t="s">
        <v>1</v>
      </c>
      <c r="I87" s="10" t="s">
        <v>31</v>
      </c>
      <c r="J87" s="4" t="s">
        <v>18</v>
      </c>
      <c r="K87" s="22"/>
      <c r="L87" s="6">
        <v>45154</v>
      </c>
      <c r="M87">
        <v>4401.8999999999996</v>
      </c>
      <c r="N87">
        <v>14425.9</v>
      </c>
      <c r="O87">
        <v>21217.9</v>
      </c>
      <c r="P87">
        <v>58.552</v>
      </c>
      <c r="Q87">
        <v>157.28800000000001</v>
      </c>
      <c r="R87">
        <v>384.41300000000001</v>
      </c>
      <c r="S87">
        <v>72</v>
      </c>
      <c r="T87">
        <v>198</v>
      </c>
      <c r="U87">
        <v>127</v>
      </c>
      <c r="V87">
        <v>90.734999999999999</v>
      </c>
      <c r="W87" s="4"/>
      <c r="X87" s="4" t="s">
        <v>18</v>
      </c>
      <c r="Y87" s="4">
        <f>SUM(Table1[[#This Row],[ZONE1_DISTANCE]:[ZONE3_DISTANCE]])</f>
        <v>40045.699999999997</v>
      </c>
      <c r="Z87" s="4">
        <f>Table1[[#This Row],[ZONE1_DISTANCE]]/Table1[[#This Row],[TOTAL_DISTANCE]]</f>
        <v>0.10992191421301163</v>
      </c>
    </row>
    <row r="88" spans="1:26" ht="21">
      <c r="A88" s="4">
        <v>83</v>
      </c>
      <c r="B88" s="4">
        <v>2</v>
      </c>
      <c r="C88" s="5">
        <v>14.2</v>
      </c>
      <c r="D88" s="4">
        <v>3</v>
      </c>
      <c r="E88" s="4">
        <v>148</v>
      </c>
      <c r="F88" s="4" t="s">
        <v>13</v>
      </c>
      <c r="G88" s="5" t="s">
        <v>80</v>
      </c>
      <c r="H88" s="4" t="s">
        <v>2</v>
      </c>
      <c r="I88" s="10" t="s">
        <v>30</v>
      </c>
      <c r="J88" s="4" t="s">
        <v>18</v>
      </c>
      <c r="K88" s="22" t="s">
        <v>67</v>
      </c>
      <c r="L88" s="6">
        <v>45154</v>
      </c>
      <c r="M88">
        <v>6502.9</v>
      </c>
      <c r="N88">
        <v>9757.5</v>
      </c>
      <c r="O88">
        <v>14495.4</v>
      </c>
      <c r="P88">
        <v>133.137</v>
      </c>
      <c r="Q88">
        <v>156.25899999999999</v>
      </c>
      <c r="R88">
        <v>310.84399999999999</v>
      </c>
      <c r="S88">
        <v>77</v>
      </c>
      <c r="T88">
        <v>148</v>
      </c>
      <c r="U88">
        <v>70</v>
      </c>
      <c r="V88">
        <v>63.83</v>
      </c>
      <c r="W88" s="4" t="s">
        <v>58</v>
      </c>
      <c r="X88" s="4" t="s">
        <v>19</v>
      </c>
      <c r="Y88" s="4">
        <f>SUM(Table1[[#This Row],[ZONE1_DISTANCE]:[ZONE3_DISTANCE]])</f>
        <v>30755.8</v>
      </c>
      <c r="Z88" s="4">
        <f>Table1[[#This Row],[ZONE1_DISTANCE]]/Table1[[#This Row],[TOTAL_DISTANCE]]</f>
        <v>0.21143654205060508</v>
      </c>
    </row>
    <row r="89" spans="1:26" ht="21">
      <c r="A89" s="4">
        <v>75</v>
      </c>
      <c r="B89" s="4">
        <v>2</v>
      </c>
      <c r="C89" s="5">
        <v>13.4</v>
      </c>
      <c r="D89" s="4">
        <v>1</v>
      </c>
      <c r="E89" s="4">
        <v>148</v>
      </c>
      <c r="F89" s="4" t="s">
        <v>13</v>
      </c>
      <c r="G89" s="5" t="s">
        <v>79</v>
      </c>
      <c r="H89" s="4" t="s">
        <v>1</v>
      </c>
      <c r="I89" s="10" t="s">
        <v>31</v>
      </c>
      <c r="J89" s="4" t="s">
        <v>18</v>
      </c>
      <c r="K89" s="22"/>
      <c r="L89" s="6">
        <v>45154</v>
      </c>
      <c r="M89">
        <v>5531.9</v>
      </c>
      <c r="N89">
        <v>13499.1</v>
      </c>
      <c r="O89">
        <v>18092</v>
      </c>
      <c r="P89">
        <v>70.808000000000007</v>
      </c>
      <c r="Q89">
        <v>166.84399999999999</v>
      </c>
      <c r="R89">
        <v>362.596</v>
      </c>
      <c r="S89">
        <v>87</v>
      </c>
      <c r="T89">
        <v>169</v>
      </c>
      <c r="U89">
        <v>83</v>
      </c>
      <c r="V89">
        <v>165.74199999999999</v>
      </c>
      <c r="W89" s="4"/>
      <c r="X89" s="4" t="s">
        <v>18</v>
      </c>
      <c r="Y89" s="4">
        <f>SUM(Table1[[#This Row],[ZONE1_DISTANCE]:[ZONE3_DISTANCE]])</f>
        <v>37123</v>
      </c>
      <c r="Z89" s="4">
        <f>Table1[[#This Row],[ZONE1_DISTANCE]]/Table1[[#This Row],[TOTAL_DISTANCE]]</f>
        <v>0.14901543517495891</v>
      </c>
    </row>
    <row r="90" spans="1:26" ht="21">
      <c r="A90" s="4">
        <v>48</v>
      </c>
      <c r="B90" s="4">
        <v>2</v>
      </c>
      <c r="C90" s="5">
        <v>10.53</v>
      </c>
      <c r="D90" s="4">
        <v>2</v>
      </c>
      <c r="E90" s="4">
        <v>148</v>
      </c>
      <c r="F90" s="4" t="s">
        <v>14</v>
      </c>
      <c r="G90" s="5" t="s">
        <v>78</v>
      </c>
      <c r="H90" s="4" t="s">
        <v>2</v>
      </c>
      <c r="I90" s="9" t="s">
        <v>29</v>
      </c>
      <c r="J90" s="4" t="s">
        <v>18</v>
      </c>
      <c r="K90" s="22" t="s">
        <v>59</v>
      </c>
      <c r="L90" s="6">
        <v>45154</v>
      </c>
      <c r="M90">
        <v>9952.2999999999993</v>
      </c>
      <c r="N90">
        <v>13863.3</v>
      </c>
      <c r="O90">
        <v>10734.3</v>
      </c>
      <c r="P90">
        <v>179.73400000000001</v>
      </c>
      <c r="Q90">
        <v>213.215</v>
      </c>
      <c r="R90">
        <v>208.232</v>
      </c>
      <c r="S90">
        <v>96</v>
      </c>
      <c r="T90">
        <v>180</v>
      </c>
      <c r="U90">
        <v>84</v>
      </c>
      <c r="V90">
        <v>58.892000000000003</v>
      </c>
      <c r="W90" s="4"/>
      <c r="X90" s="4" t="s">
        <v>18</v>
      </c>
      <c r="Y90" s="4">
        <f>SUM(Table1[[#This Row],[ZONE1_DISTANCE]:[ZONE3_DISTANCE]])</f>
        <v>34549.899999999994</v>
      </c>
      <c r="Z90" s="4">
        <f>Table1[[#This Row],[ZONE1_DISTANCE]]/Table1[[#This Row],[TOTAL_DISTANCE]]</f>
        <v>0.28805582650022143</v>
      </c>
    </row>
    <row r="91" spans="1:26" ht="21">
      <c r="A91" s="4">
        <v>65</v>
      </c>
      <c r="B91" s="4">
        <v>2</v>
      </c>
      <c r="C91" s="5">
        <v>12.19</v>
      </c>
      <c r="D91" s="4">
        <v>1</v>
      </c>
      <c r="E91" s="4">
        <v>139</v>
      </c>
      <c r="F91" s="4" t="s">
        <v>13</v>
      </c>
      <c r="G91" s="5" t="s">
        <v>79</v>
      </c>
      <c r="H91" s="4" t="s">
        <v>1</v>
      </c>
      <c r="I91" s="10" t="s">
        <v>31</v>
      </c>
      <c r="J91" s="4" t="s">
        <v>18</v>
      </c>
      <c r="K91" s="22" t="s">
        <v>63</v>
      </c>
      <c r="L91" s="6">
        <v>45154</v>
      </c>
      <c r="M91">
        <v>9156.7000000000007</v>
      </c>
      <c r="N91">
        <v>15042.1</v>
      </c>
      <c r="O91">
        <v>5459.8</v>
      </c>
      <c r="P91">
        <v>174.518</v>
      </c>
      <c r="Q91">
        <v>286.15100000000001</v>
      </c>
      <c r="R91">
        <v>139.577</v>
      </c>
      <c r="S91">
        <v>98</v>
      </c>
      <c r="T91">
        <v>170</v>
      </c>
      <c r="U91">
        <v>72</v>
      </c>
      <c r="V91">
        <v>83.941000000000003</v>
      </c>
      <c r="W91" s="4" t="s">
        <v>46</v>
      </c>
      <c r="X91" s="4" t="s">
        <v>19</v>
      </c>
      <c r="Y91" s="4">
        <f>SUM(Table1[[#This Row],[ZONE1_DISTANCE]:[ZONE3_DISTANCE]])</f>
        <v>29658.600000000002</v>
      </c>
      <c r="Z91" s="4">
        <f>Table1[[#This Row],[ZONE1_DISTANCE]]/Table1[[#This Row],[TOTAL_DISTANCE]]</f>
        <v>0.30873675763522218</v>
      </c>
    </row>
    <row r="92" spans="1:26" ht="21">
      <c r="A92" s="4">
        <v>55</v>
      </c>
      <c r="B92" s="4">
        <v>2</v>
      </c>
      <c r="C92" s="5">
        <v>11.34</v>
      </c>
      <c r="D92" s="4">
        <v>3</v>
      </c>
      <c r="E92" s="4">
        <v>148</v>
      </c>
      <c r="F92" s="4" t="s">
        <v>13</v>
      </c>
      <c r="G92" s="5" t="s">
        <v>78</v>
      </c>
      <c r="H92" s="4" t="s">
        <v>1</v>
      </c>
      <c r="I92" s="10" t="s">
        <v>29</v>
      </c>
      <c r="J92" s="4" t="s">
        <v>1</v>
      </c>
      <c r="K92" s="22" t="s">
        <v>75</v>
      </c>
      <c r="L92" s="6">
        <v>45154</v>
      </c>
      <c r="M92">
        <v>9768</v>
      </c>
      <c r="N92">
        <v>27023.8</v>
      </c>
      <c r="O92">
        <v>16495.2</v>
      </c>
      <c r="P92">
        <v>106.238</v>
      </c>
      <c r="Q92">
        <v>249.18</v>
      </c>
      <c r="R92">
        <v>244.83099999999999</v>
      </c>
      <c r="S92">
        <v>170</v>
      </c>
      <c r="T92">
        <v>354</v>
      </c>
      <c r="U92">
        <v>184</v>
      </c>
      <c r="V92">
        <v>13.224</v>
      </c>
      <c r="W92" s="4" t="s">
        <v>46</v>
      </c>
      <c r="X92" s="4" t="s">
        <v>19</v>
      </c>
      <c r="Y92" s="4">
        <f>SUM(Table1[[#This Row],[ZONE1_DISTANCE]:[ZONE3_DISTANCE]])</f>
        <v>53287</v>
      </c>
      <c r="Z92" s="4">
        <f>Table1[[#This Row],[ZONE1_DISTANCE]]/Table1[[#This Row],[TOTAL_DISTANCE]]</f>
        <v>0.18330924991086006</v>
      </c>
    </row>
    <row r="93" spans="1:26" ht="21">
      <c r="A93" s="4">
        <v>35</v>
      </c>
      <c r="B93" s="4">
        <v>1</v>
      </c>
      <c r="C93" s="5">
        <v>15.21</v>
      </c>
      <c r="D93" s="4">
        <v>3</v>
      </c>
      <c r="E93" s="4">
        <v>148</v>
      </c>
      <c r="F93" s="4" t="s">
        <v>13</v>
      </c>
      <c r="G93" s="5" t="s">
        <v>80</v>
      </c>
      <c r="H93" s="4" t="s">
        <v>1</v>
      </c>
      <c r="I93" s="9" t="s">
        <v>29</v>
      </c>
      <c r="J93" s="4" t="s">
        <v>19</v>
      </c>
      <c r="K93" s="22" t="s">
        <v>32</v>
      </c>
      <c r="L93" s="6">
        <v>45153</v>
      </c>
      <c r="M93" s="4"/>
      <c r="N93" s="7"/>
      <c r="O93" s="8"/>
      <c r="P93" s="7"/>
      <c r="Q93" s="4"/>
      <c r="R93" s="4"/>
      <c r="S93" s="4"/>
      <c r="T93" s="4"/>
      <c r="U93" s="4"/>
      <c r="V93" s="4"/>
      <c r="W93" s="4"/>
      <c r="X93" s="4" t="s">
        <v>18</v>
      </c>
      <c r="Y93" s="4">
        <f>SUM(Table1[[#This Row],[ZONE1_DISTANCE]:[ZONE3_DISTANCE]])</f>
        <v>0</v>
      </c>
      <c r="Z93" s="4"/>
    </row>
    <row r="94" spans="1:26" ht="21">
      <c r="A94" s="4">
        <v>36</v>
      </c>
      <c r="B94" s="4">
        <v>1</v>
      </c>
      <c r="C94" s="5">
        <v>15.21</v>
      </c>
      <c r="D94" s="4">
        <v>4</v>
      </c>
      <c r="E94" s="4">
        <v>148</v>
      </c>
      <c r="F94" s="4" t="s">
        <v>14</v>
      </c>
      <c r="G94" s="5" t="s">
        <v>80</v>
      </c>
      <c r="H94" s="4" t="s">
        <v>1</v>
      </c>
      <c r="I94" s="10" t="s">
        <v>30</v>
      </c>
      <c r="J94" s="4" t="s">
        <v>19</v>
      </c>
      <c r="K94" s="22" t="s">
        <v>32</v>
      </c>
      <c r="L94" s="6">
        <v>45153</v>
      </c>
      <c r="M94" s="4"/>
      <c r="N94" s="7"/>
      <c r="O94" s="8"/>
      <c r="P94" s="7"/>
      <c r="Q94" s="4"/>
      <c r="R94" s="4"/>
      <c r="S94" s="4"/>
      <c r="T94" s="4"/>
      <c r="U94" s="4"/>
      <c r="V94" s="4"/>
      <c r="W94" s="4"/>
      <c r="X94" s="4" t="s">
        <v>18</v>
      </c>
      <c r="Y94" s="4">
        <f>SUM(Table1[[#This Row],[ZONE1_DISTANCE]:[ZONE3_DISTANCE]])</f>
        <v>0</v>
      </c>
      <c r="Z94" s="4"/>
    </row>
    <row r="95" spans="1:26" ht="21">
      <c r="A95" s="4"/>
      <c r="B95" s="4"/>
      <c r="C95" s="5"/>
      <c r="D95" s="4"/>
      <c r="E95" s="4"/>
      <c r="F95" s="4"/>
      <c r="G95" s="5"/>
      <c r="H95" s="4"/>
      <c r="I95" s="10"/>
      <c r="J95" s="4"/>
      <c r="K95" s="4"/>
      <c r="L95" s="6"/>
      <c r="O95" s="2"/>
      <c r="P95" s="1"/>
      <c r="S95" s="1"/>
      <c r="T95" s="1"/>
    </row>
    <row r="96" spans="1:26" ht="21">
      <c r="A96" s="4"/>
      <c r="B96" s="4"/>
      <c r="C96" s="5"/>
      <c r="D96" s="4"/>
      <c r="E96" s="4"/>
      <c r="F96" s="4"/>
      <c r="G96" s="5"/>
      <c r="H96" s="4"/>
      <c r="I96" s="10"/>
      <c r="J96" s="4"/>
      <c r="K96" s="4"/>
      <c r="L96" s="6"/>
      <c r="O96" s="2"/>
      <c r="P96" s="1"/>
      <c r="S96" s="1"/>
      <c r="T96" s="1"/>
    </row>
    <row r="97" spans="1:21" ht="21">
      <c r="A97" s="4"/>
      <c r="B97" s="4"/>
      <c r="C97" s="5"/>
      <c r="D97" s="4"/>
      <c r="E97" s="4"/>
      <c r="F97" s="4"/>
      <c r="G97" s="5"/>
      <c r="H97" s="4"/>
      <c r="I97" s="10"/>
      <c r="J97" s="4"/>
      <c r="K97" s="4"/>
      <c r="L97" s="4"/>
      <c r="O97" s="2"/>
      <c r="P97" s="2"/>
      <c r="S97" s="1"/>
      <c r="T97" s="1"/>
    </row>
    <row r="98" spans="1:21" ht="21">
      <c r="A98" s="4"/>
      <c r="B98" s="4"/>
      <c r="C98" s="5"/>
      <c r="D98" s="4"/>
      <c r="E98" s="4"/>
      <c r="F98" s="4"/>
      <c r="G98" s="5"/>
      <c r="H98" s="4"/>
      <c r="I98" s="7"/>
      <c r="J98" s="4"/>
      <c r="K98" s="4"/>
      <c r="L98" s="6"/>
      <c r="O98" s="2"/>
      <c r="P98" s="1"/>
      <c r="S98" s="1"/>
      <c r="T98" s="1"/>
    </row>
    <row r="99" spans="1:21" ht="21">
      <c r="A99" s="4"/>
      <c r="B99" s="4"/>
      <c r="C99" s="5"/>
      <c r="D99" s="4"/>
      <c r="E99" s="4"/>
      <c r="F99" s="4"/>
      <c r="G99" s="5"/>
      <c r="H99" s="4"/>
      <c r="I99" s="8"/>
      <c r="J99" s="4"/>
      <c r="K99" s="4"/>
      <c r="L99" s="6"/>
      <c r="O99" s="2"/>
      <c r="P99" s="2"/>
      <c r="S99" s="1"/>
      <c r="T99" s="1"/>
    </row>
    <row r="100" spans="1:21" ht="21">
      <c r="A100" s="4"/>
      <c r="B100" s="4"/>
      <c r="C100" s="5"/>
      <c r="D100" s="4"/>
      <c r="E100" s="4"/>
      <c r="F100" s="4"/>
      <c r="G100" s="5"/>
      <c r="H100" s="4"/>
      <c r="I100" s="7"/>
      <c r="J100" s="4"/>
      <c r="K100" s="4"/>
      <c r="L100" s="6"/>
      <c r="O100" s="2"/>
      <c r="P100" s="2"/>
      <c r="S100" s="1"/>
      <c r="T100" s="1"/>
    </row>
    <row r="101" spans="1:21" ht="21">
      <c r="A101" s="4"/>
      <c r="B101" s="4"/>
      <c r="C101" s="5"/>
      <c r="D101" s="4"/>
      <c r="E101" s="4"/>
      <c r="F101" s="4"/>
      <c r="G101" s="5"/>
      <c r="H101" s="4"/>
      <c r="I101" s="4"/>
      <c r="J101" s="4"/>
      <c r="K101" s="4"/>
      <c r="L101" s="6"/>
      <c r="M101" s="2"/>
      <c r="N101" s="1"/>
      <c r="Q101" s="1"/>
      <c r="R101" s="1"/>
    </row>
    <row r="102" spans="1:21" ht="21">
      <c r="A102" s="4"/>
      <c r="B102" s="4"/>
      <c r="C102" s="5"/>
      <c r="D102" s="4"/>
      <c r="E102" s="4"/>
      <c r="F102" s="4"/>
      <c r="G102" s="5"/>
      <c r="H102" s="4"/>
      <c r="I102" s="4"/>
      <c r="J102" s="4"/>
      <c r="K102" s="4"/>
      <c r="L102" s="6"/>
      <c r="M102" s="2"/>
      <c r="N102" s="2"/>
      <c r="Q102" s="1"/>
      <c r="R102" s="1"/>
    </row>
    <row r="103" spans="1:21" ht="21">
      <c r="A103" s="4"/>
      <c r="B103" s="4"/>
      <c r="C103" s="5"/>
      <c r="D103" s="4"/>
      <c r="E103" s="4"/>
      <c r="F103" s="4"/>
      <c r="G103" s="5"/>
      <c r="H103" s="4"/>
      <c r="I103" s="4"/>
      <c r="J103" s="4"/>
      <c r="K103" s="4"/>
      <c r="L103" s="6"/>
      <c r="M103" s="2"/>
      <c r="N103" s="2"/>
      <c r="Q103" s="1"/>
      <c r="R103" s="1"/>
    </row>
    <row r="104" spans="1:21" ht="21">
      <c r="A104" s="4"/>
      <c r="B104" s="4"/>
      <c r="C104" s="5"/>
      <c r="D104" s="4"/>
      <c r="E104" s="4"/>
      <c r="F104" s="4"/>
      <c r="G104" s="5"/>
      <c r="H104" s="4"/>
      <c r="I104" s="4"/>
      <c r="J104" s="4"/>
      <c r="K104" s="4"/>
      <c r="L104" s="6"/>
      <c r="M104" s="2"/>
      <c r="N104" s="1"/>
      <c r="Q104" s="1"/>
      <c r="R104" s="1"/>
    </row>
    <row r="105" spans="1:21" ht="21">
      <c r="A105" s="4"/>
      <c r="B105" s="4"/>
      <c r="C105" s="5"/>
      <c r="D105" s="4"/>
      <c r="E105" s="4"/>
      <c r="F105" s="4"/>
      <c r="G105" s="5"/>
      <c r="H105" s="4"/>
      <c r="I105" s="4"/>
      <c r="J105" s="4"/>
      <c r="K105" s="4"/>
      <c r="L105" s="6"/>
      <c r="M105" s="2"/>
      <c r="N105" s="1"/>
      <c r="Q105" s="1"/>
      <c r="R105" s="1"/>
    </row>
    <row r="106" spans="1:21" ht="21">
      <c r="A106" s="4"/>
      <c r="B106" s="4"/>
      <c r="C106" s="5"/>
      <c r="D106" s="4"/>
      <c r="E106" s="4"/>
      <c r="F106" s="4"/>
      <c r="G106" s="5"/>
      <c r="H106" s="4"/>
      <c r="I106" s="4"/>
      <c r="J106" s="4"/>
      <c r="K106" s="4"/>
      <c r="L106" s="6"/>
      <c r="M106" s="2"/>
      <c r="N106" s="1"/>
      <c r="Q106" s="1"/>
      <c r="R106" s="1"/>
    </row>
    <row r="107" spans="1:21" ht="21">
      <c r="A107" s="4"/>
      <c r="B107" s="4"/>
      <c r="C107" s="5"/>
      <c r="D107" s="4"/>
      <c r="E107" s="4"/>
      <c r="F107" s="4"/>
      <c r="G107" s="5"/>
      <c r="H107" s="4"/>
      <c r="I107" s="4"/>
      <c r="J107" s="4"/>
      <c r="K107" s="4"/>
      <c r="L107" s="6"/>
      <c r="Q107" s="1"/>
      <c r="R107" s="1"/>
    </row>
    <row r="108" spans="1:21" ht="21">
      <c r="A108" s="4"/>
      <c r="B108" s="4"/>
      <c r="C108" s="5"/>
      <c r="D108" s="4"/>
      <c r="E108" s="4"/>
      <c r="F108" s="4"/>
      <c r="G108" s="5"/>
      <c r="H108" s="4"/>
      <c r="I108" s="4"/>
      <c r="J108" s="4"/>
      <c r="K108" s="4"/>
      <c r="L108" s="6"/>
      <c r="Q108" s="1"/>
      <c r="R108" s="1"/>
    </row>
    <row r="109" spans="1:21" ht="21">
      <c r="A109" s="4"/>
      <c r="B109" s="4"/>
      <c r="C109" s="5"/>
      <c r="D109" s="4"/>
      <c r="E109" s="4"/>
      <c r="F109" s="4"/>
      <c r="G109" s="5"/>
      <c r="H109" s="4"/>
      <c r="I109" s="4"/>
      <c r="J109" s="4"/>
      <c r="K109" s="4"/>
      <c r="L109" s="6"/>
      <c r="Q109" s="1"/>
      <c r="R109" s="1"/>
    </row>
    <row r="110" spans="1:21" ht="21">
      <c r="A110" s="4"/>
      <c r="B110" s="4"/>
      <c r="C110" s="5"/>
      <c r="D110" s="4"/>
      <c r="E110" s="4"/>
      <c r="F110" s="4"/>
      <c r="G110" s="5"/>
      <c r="H110" s="4"/>
      <c r="L110" s="4"/>
      <c r="M110" s="4"/>
      <c r="N110" s="4"/>
      <c r="O110" s="4"/>
      <c r="T110" s="1"/>
      <c r="U110" s="1"/>
    </row>
    <row r="111" spans="1:21" ht="21">
      <c r="A111" s="4"/>
      <c r="B111" s="4"/>
      <c r="C111" s="5"/>
      <c r="D111" s="4"/>
      <c r="E111" s="4"/>
      <c r="F111" s="4"/>
      <c r="G111" s="5"/>
      <c r="H111" s="4"/>
      <c r="L111" s="4"/>
      <c r="M111" s="4"/>
      <c r="N111" s="4"/>
      <c r="O111" s="4"/>
      <c r="T111" s="1"/>
      <c r="U111" s="1"/>
    </row>
    <row r="112" spans="1:21" ht="21">
      <c r="A112" s="4"/>
      <c r="B112" s="4"/>
      <c r="C112" s="5"/>
      <c r="D112" s="4"/>
      <c r="E112" s="4"/>
      <c r="F112" s="4"/>
      <c r="G112" s="5"/>
      <c r="H112" s="4"/>
      <c r="L112" s="4"/>
      <c r="M112" s="4"/>
      <c r="N112" s="4"/>
      <c r="O112" s="4"/>
      <c r="T112" s="1"/>
      <c r="U112" s="1"/>
    </row>
    <row r="113" spans="1:21" ht="21">
      <c r="A113" s="4"/>
      <c r="B113" s="4"/>
      <c r="C113" s="5"/>
      <c r="D113" s="4"/>
      <c r="E113" s="4"/>
      <c r="F113" s="4"/>
      <c r="G113" s="5"/>
      <c r="H113" s="4"/>
      <c r="L113" s="4"/>
      <c r="M113" s="4"/>
      <c r="N113" s="4"/>
      <c r="O113" s="4"/>
      <c r="T113" s="1"/>
      <c r="U113" s="1"/>
    </row>
    <row r="114" spans="1:21" ht="21">
      <c r="A114" s="4"/>
      <c r="B114" s="4"/>
      <c r="C114" s="5"/>
      <c r="D114" s="4"/>
      <c r="E114" s="4"/>
      <c r="F114" s="4"/>
      <c r="G114" s="5"/>
      <c r="H114" s="4"/>
      <c r="L114" s="4"/>
      <c r="M114" s="4"/>
      <c r="N114" s="4"/>
      <c r="O114" s="4"/>
      <c r="T114" s="1"/>
      <c r="U114" s="1"/>
    </row>
    <row r="115" spans="1:21" ht="20">
      <c r="A115" s="3"/>
      <c r="B115" s="3"/>
      <c r="C115" s="3"/>
      <c r="D115" s="3"/>
      <c r="E115" s="3"/>
      <c r="F115" s="3"/>
      <c r="G115" s="3"/>
      <c r="H115" s="3"/>
      <c r="L115" s="3"/>
      <c r="M115" s="3"/>
      <c r="N115" s="3"/>
      <c r="O115" s="3"/>
      <c r="T115" s="1"/>
      <c r="U115" s="1"/>
    </row>
    <row r="116" spans="1:21" ht="20">
      <c r="A116" s="3"/>
      <c r="B116" s="3"/>
      <c r="C116" s="3"/>
      <c r="D116" s="3"/>
      <c r="E116" s="3"/>
      <c r="F116" s="3"/>
      <c r="G116" s="3"/>
      <c r="H116" s="3"/>
      <c r="L116" s="3"/>
      <c r="M116" s="3"/>
      <c r="N116" s="3"/>
      <c r="O116" s="3"/>
      <c r="T116" s="1"/>
      <c r="U116" s="1"/>
    </row>
    <row r="117" spans="1:21" ht="20">
      <c r="T117" s="1"/>
      <c r="U117" s="1"/>
    </row>
    <row r="118" spans="1:21" ht="20">
      <c r="T118" s="1"/>
      <c r="U118" s="1"/>
    </row>
    <row r="119" spans="1:21" ht="20">
      <c r="T119" s="1"/>
      <c r="U119" s="1"/>
    </row>
    <row r="120" spans="1:21" ht="20">
      <c r="T120" s="1"/>
      <c r="U120" s="1"/>
    </row>
    <row r="121" spans="1:21" ht="20">
      <c r="T121" s="1"/>
      <c r="U121" s="1"/>
    </row>
    <row r="122" spans="1:21" ht="20">
      <c r="T122" s="1"/>
      <c r="U12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605E-C20E-4CC0-B1E5-1D3471F0976C}">
  <dimension ref="B1:F95"/>
  <sheetViews>
    <sheetView workbookViewId="0">
      <selection activeCell="F95" sqref="F3:F95"/>
    </sheetView>
  </sheetViews>
  <sheetFormatPr defaultRowHeight="15.5"/>
  <sheetData>
    <row r="1" spans="2:6" ht="16" thickBot="1">
      <c r="B1" t="s">
        <v>41</v>
      </c>
      <c r="E1" t="s">
        <v>40</v>
      </c>
    </row>
    <row r="2" spans="2:6" ht="32" thickBot="1">
      <c r="B2" s="15" t="s">
        <v>0</v>
      </c>
      <c r="C2" s="18" t="s">
        <v>9</v>
      </c>
      <c r="E2" s="13" t="s">
        <v>35</v>
      </c>
      <c r="F2" s="13" t="s">
        <v>36</v>
      </c>
    </row>
    <row r="3" spans="2:6" ht="21.5" thickBot="1">
      <c r="B3" s="16">
        <v>1</v>
      </c>
      <c r="C3" s="19" t="s">
        <v>29</v>
      </c>
      <c r="E3" s="14">
        <v>1</v>
      </c>
      <c r="F3" s="14" t="s">
        <v>29</v>
      </c>
    </row>
    <row r="4" spans="2:6" ht="21.5" thickBot="1">
      <c r="B4" s="16">
        <v>2</v>
      </c>
      <c r="C4" s="19" t="s">
        <v>29</v>
      </c>
      <c r="E4" s="14">
        <v>2</v>
      </c>
      <c r="F4" s="14" t="s">
        <v>29</v>
      </c>
    </row>
    <row r="5" spans="2:6" ht="21.5" thickBot="1">
      <c r="B5" s="16">
        <v>3</v>
      </c>
      <c r="C5" s="20" t="s">
        <v>30</v>
      </c>
      <c r="E5" s="14">
        <v>3</v>
      </c>
      <c r="F5" s="14" t="s">
        <v>30</v>
      </c>
    </row>
    <row r="6" spans="2:6" ht="21.5" thickBot="1">
      <c r="B6" s="16">
        <v>4</v>
      </c>
      <c r="C6" s="19" t="s">
        <v>29</v>
      </c>
      <c r="E6" s="14">
        <v>4</v>
      </c>
      <c r="F6" s="14" t="s">
        <v>29</v>
      </c>
    </row>
    <row r="7" spans="2:6" ht="21.5" thickBot="1">
      <c r="B7" s="16">
        <v>5</v>
      </c>
      <c r="C7" s="19" t="s">
        <v>30</v>
      </c>
      <c r="E7" s="14">
        <v>5</v>
      </c>
      <c r="F7" s="14" t="s">
        <v>30</v>
      </c>
    </row>
    <row r="8" spans="2:6" ht="21.5" thickBot="1">
      <c r="B8" s="16">
        <v>6</v>
      </c>
      <c r="C8" s="20" t="s">
        <v>29</v>
      </c>
      <c r="E8" s="14">
        <v>6</v>
      </c>
      <c r="F8" s="14" t="s">
        <v>29</v>
      </c>
    </row>
    <row r="9" spans="2:6" ht="21.5" thickBot="1">
      <c r="B9" s="16">
        <v>7</v>
      </c>
      <c r="C9" s="19" t="s">
        <v>29</v>
      </c>
      <c r="E9" s="14">
        <v>7</v>
      </c>
      <c r="F9" s="14" t="s">
        <v>29</v>
      </c>
    </row>
    <row r="10" spans="2:6" ht="21.5" thickBot="1">
      <c r="B10" s="16">
        <v>8</v>
      </c>
      <c r="C10" s="19" t="s">
        <v>31</v>
      </c>
      <c r="E10" s="14">
        <v>8</v>
      </c>
      <c r="F10" s="14" t="s">
        <v>31</v>
      </c>
    </row>
    <row r="11" spans="2:6" ht="21.5" thickBot="1">
      <c r="B11" s="16">
        <v>9</v>
      </c>
      <c r="C11" s="19" t="s">
        <v>30</v>
      </c>
      <c r="E11" s="14">
        <v>9</v>
      </c>
      <c r="F11" s="14" t="s">
        <v>30</v>
      </c>
    </row>
    <row r="12" spans="2:6" ht="21.5" thickBot="1">
      <c r="B12" s="16">
        <v>10</v>
      </c>
      <c r="C12" s="20" t="s">
        <v>30</v>
      </c>
      <c r="E12" s="14">
        <v>10</v>
      </c>
      <c r="F12" s="14" t="s">
        <v>30</v>
      </c>
    </row>
    <row r="13" spans="2:6" ht="21.5" thickBot="1">
      <c r="B13" s="16">
        <v>11</v>
      </c>
      <c r="C13" s="19" t="s">
        <v>29</v>
      </c>
      <c r="E13" s="14">
        <v>11</v>
      </c>
      <c r="F13" s="14" t="s">
        <v>29</v>
      </c>
    </row>
    <row r="14" spans="2:6" ht="21.5" thickBot="1">
      <c r="B14" s="16">
        <v>12</v>
      </c>
      <c r="C14" s="19" t="s">
        <v>29</v>
      </c>
      <c r="E14" s="14">
        <v>12</v>
      </c>
      <c r="F14" s="14" t="s">
        <v>29</v>
      </c>
    </row>
    <row r="15" spans="2:6" ht="21.5" thickBot="1">
      <c r="B15" s="16">
        <v>13</v>
      </c>
      <c r="C15" s="19" t="s">
        <v>29</v>
      </c>
      <c r="E15" s="14">
        <v>13</v>
      </c>
      <c r="F15" s="14" t="s">
        <v>29</v>
      </c>
    </row>
    <row r="16" spans="2:6" ht="21.5" thickBot="1">
      <c r="B16" s="16">
        <v>14</v>
      </c>
      <c r="C16" s="19" t="s">
        <v>30</v>
      </c>
      <c r="E16" s="14">
        <v>14</v>
      </c>
      <c r="F16" s="14" t="s">
        <v>30</v>
      </c>
    </row>
    <row r="17" spans="2:6" ht="21.5" thickBot="1">
      <c r="B17" s="16">
        <v>15</v>
      </c>
      <c r="C17" s="19" t="s">
        <v>30</v>
      </c>
      <c r="E17" s="14">
        <v>15</v>
      </c>
      <c r="F17" s="14" t="s">
        <v>30</v>
      </c>
    </row>
    <row r="18" spans="2:6" ht="21.5" thickBot="1">
      <c r="B18" s="16">
        <v>16</v>
      </c>
      <c r="C18" s="19" t="s">
        <v>30</v>
      </c>
      <c r="E18" s="14">
        <v>16</v>
      </c>
      <c r="F18" s="14" t="s">
        <v>30</v>
      </c>
    </row>
    <row r="19" spans="2:6" ht="21.5" thickBot="1">
      <c r="B19" s="16">
        <v>17</v>
      </c>
      <c r="C19" s="19" t="s">
        <v>30</v>
      </c>
      <c r="E19" s="14">
        <v>17</v>
      </c>
      <c r="F19" s="14" t="s">
        <v>30</v>
      </c>
    </row>
    <row r="20" spans="2:6" ht="21.5" thickBot="1">
      <c r="B20" s="16">
        <v>18</v>
      </c>
      <c r="C20" s="19" t="s">
        <v>31</v>
      </c>
      <c r="E20" s="14">
        <v>18</v>
      </c>
      <c r="F20" s="14" t="s">
        <v>31</v>
      </c>
    </row>
    <row r="21" spans="2:6" ht="21.5" thickBot="1">
      <c r="B21" s="16">
        <v>19</v>
      </c>
      <c r="C21" s="19" t="s">
        <v>30</v>
      </c>
      <c r="E21" s="14">
        <v>19</v>
      </c>
      <c r="F21" s="14" t="s">
        <v>30</v>
      </c>
    </row>
    <row r="22" spans="2:6" ht="21.5" thickBot="1">
      <c r="B22" s="16">
        <v>20</v>
      </c>
      <c r="C22" s="19"/>
      <c r="E22" s="14">
        <v>20</v>
      </c>
      <c r="F22" s="14" t="s">
        <v>31</v>
      </c>
    </row>
    <row r="23" spans="2:6" ht="21.5" thickBot="1">
      <c r="B23" s="16">
        <v>21</v>
      </c>
      <c r="C23" s="19"/>
      <c r="E23" s="14">
        <v>21</v>
      </c>
      <c r="F23" s="14" t="s">
        <v>30</v>
      </c>
    </row>
    <row r="24" spans="2:6" ht="21.5" thickBot="1">
      <c r="B24" s="16">
        <v>22</v>
      </c>
      <c r="C24" s="20"/>
      <c r="E24" s="14">
        <v>22</v>
      </c>
      <c r="F24" s="14" t="s">
        <v>30</v>
      </c>
    </row>
    <row r="25" spans="2:6" ht="21.5" thickBot="1">
      <c r="B25" s="16">
        <v>23</v>
      </c>
      <c r="C25" s="20"/>
      <c r="E25" s="14">
        <v>23</v>
      </c>
      <c r="F25" s="14"/>
    </row>
    <row r="26" spans="2:6" ht="21.5" thickBot="1">
      <c r="B26" s="16">
        <v>24</v>
      </c>
      <c r="C26" s="19" t="s">
        <v>30</v>
      </c>
      <c r="E26" s="14">
        <v>24</v>
      </c>
      <c r="F26" s="14" t="s">
        <v>30</v>
      </c>
    </row>
    <row r="27" spans="2:6" ht="21.5" thickBot="1">
      <c r="B27" s="16">
        <v>25</v>
      </c>
      <c r="C27" s="19" t="s">
        <v>29</v>
      </c>
      <c r="E27" s="14">
        <v>25</v>
      </c>
      <c r="F27" s="14" t="s">
        <v>29</v>
      </c>
    </row>
    <row r="28" spans="2:6" ht="21.5" thickBot="1">
      <c r="B28" s="16">
        <v>26</v>
      </c>
      <c r="C28" s="19" t="s">
        <v>30</v>
      </c>
      <c r="E28" s="14">
        <v>26</v>
      </c>
      <c r="F28" s="14" t="s">
        <v>30</v>
      </c>
    </row>
    <row r="29" spans="2:6" ht="21.5" thickBot="1">
      <c r="B29" s="16">
        <v>27</v>
      </c>
      <c r="C29" s="20" t="s">
        <v>29</v>
      </c>
      <c r="E29" s="14">
        <v>27</v>
      </c>
      <c r="F29" s="14" t="s">
        <v>29</v>
      </c>
    </row>
    <row r="30" spans="2:6" ht="21.5" thickBot="1">
      <c r="B30" s="16">
        <v>28</v>
      </c>
      <c r="C30" s="19"/>
      <c r="E30" s="14">
        <v>28</v>
      </c>
      <c r="F30" s="14" t="s">
        <v>37</v>
      </c>
    </row>
    <row r="31" spans="2:6" ht="21.5" thickBot="1">
      <c r="B31" s="16">
        <v>29</v>
      </c>
      <c r="C31" s="20" t="s">
        <v>30</v>
      </c>
      <c r="E31" s="14">
        <v>29</v>
      </c>
      <c r="F31" s="14" t="s">
        <v>30</v>
      </c>
    </row>
    <row r="32" spans="2:6" ht="21.5" thickBot="1">
      <c r="B32" s="16">
        <v>30</v>
      </c>
      <c r="C32" s="19" t="s">
        <v>30</v>
      </c>
      <c r="E32" s="14">
        <v>30</v>
      </c>
      <c r="F32" s="14" t="s">
        <v>30</v>
      </c>
    </row>
    <row r="33" spans="2:6" ht="21.5" thickBot="1">
      <c r="B33" s="16">
        <v>31</v>
      </c>
      <c r="C33" s="19" t="s">
        <v>29</v>
      </c>
      <c r="E33" s="14">
        <v>31</v>
      </c>
      <c r="F33" s="14" t="s">
        <v>29</v>
      </c>
    </row>
    <row r="34" spans="2:6" ht="21.5" thickBot="1">
      <c r="B34" s="16">
        <v>32</v>
      </c>
      <c r="C34" s="20" t="s">
        <v>31</v>
      </c>
      <c r="E34" s="14">
        <v>32</v>
      </c>
      <c r="F34" s="14" t="s">
        <v>31</v>
      </c>
    </row>
    <row r="35" spans="2:6" ht="21.5" thickBot="1">
      <c r="B35" s="16">
        <v>33</v>
      </c>
      <c r="C35" s="19" t="s">
        <v>29</v>
      </c>
      <c r="E35" s="14">
        <v>33</v>
      </c>
      <c r="F35" s="14" t="s">
        <v>29</v>
      </c>
    </row>
    <row r="36" spans="2:6" ht="21.5" thickBot="1">
      <c r="B36" s="16">
        <v>34</v>
      </c>
      <c r="C36" s="20" t="s">
        <v>29</v>
      </c>
      <c r="E36" s="14">
        <v>34</v>
      </c>
      <c r="F36" s="14" t="s">
        <v>29</v>
      </c>
    </row>
    <row r="37" spans="2:6" ht="21.5" thickBot="1">
      <c r="B37" s="16">
        <v>35</v>
      </c>
      <c r="C37" s="19" t="s">
        <v>29</v>
      </c>
      <c r="E37" s="14">
        <v>35</v>
      </c>
      <c r="F37" s="14" t="s">
        <v>29</v>
      </c>
    </row>
    <row r="38" spans="2:6" ht="21.5" thickBot="1">
      <c r="B38" s="16">
        <v>36</v>
      </c>
      <c r="C38" s="20" t="s">
        <v>30</v>
      </c>
      <c r="E38" s="14">
        <v>36</v>
      </c>
      <c r="F38" s="14" t="s">
        <v>30</v>
      </c>
    </row>
    <row r="39" spans="2:6" ht="21.5" thickBot="1">
      <c r="B39" s="16">
        <v>37</v>
      </c>
      <c r="C39" s="19" t="s">
        <v>29</v>
      </c>
      <c r="E39" s="14">
        <v>37</v>
      </c>
      <c r="F39" s="14" t="s">
        <v>29</v>
      </c>
    </row>
    <row r="40" spans="2:6" ht="21.5" thickBot="1">
      <c r="B40" s="16">
        <v>38</v>
      </c>
      <c r="C40" s="19" t="s">
        <v>31</v>
      </c>
      <c r="E40" s="14">
        <v>38</v>
      </c>
      <c r="F40" s="14" t="s">
        <v>31</v>
      </c>
    </row>
    <row r="41" spans="2:6" ht="21.5" thickBot="1">
      <c r="B41" s="16">
        <v>39</v>
      </c>
      <c r="C41" s="19" t="s">
        <v>31</v>
      </c>
      <c r="E41" s="14">
        <v>39</v>
      </c>
      <c r="F41" s="14" t="s">
        <v>31</v>
      </c>
    </row>
    <row r="42" spans="2:6" ht="21.5" thickBot="1">
      <c r="B42" s="16">
        <v>40</v>
      </c>
      <c r="C42" s="20"/>
      <c r="E42" s="14">
        <v>40</v>
      </c>
      <c r="F42" s="14" t="s">
        <v>38</v>
      </c>
    </row>
    <row r="43" spans="2:6" ht="21.5" thickBot="1">
      <c r="B43" s="16">
        <v>41</v>
      </c>
      <c r="C43" s="19" t="s">
        <v>31</v>
      </c>
      <c r="E43" s="14">
        <v>41</v>
      </c>
      <c r="F43" s="14" t="s">
        <v>31</v>
      </c>
    </row>
    <row r="44" spans="2:6" ht="21.5" thickBot="1">
      <c r="B44" s="16">
        <v>42</v>
      </c>
      <c r="C44" s="19" t="s">
        <v>29</v>
      </c>
      <c r="E44" s="14">
        <v>42</v>
      </c>
      <c r="F44" s="14" t="s">
        <v>29</v>
      </c>
    </row>
    <row r="45" spans="2:6" ht="21.5" thickBot="1">
      <c r="B45" s="16">
        <v>43</v>
      </c>
      <c r="C45" s="19" t="s">
        <v>30</v>
      </c>
      <c r="E45" s="14">
        <v>43</v>
      </c>
      <c r="F45" s="14" t="s">
        <v>30</v>
      </c>
    </row>
    <row r="46" spans="2:6" ht="21.5" thickBot="1">
      <c r="B46" s="16">
        <v>44</v>
      </c>
      <c r="C46" s="19" t="s">
        <v>30</v>
      </c>
      <c r="E46" s="14">
        <v>44</v>
      </c>
      <c r="F46" s="14" t="s">
        <v>30</v>
      </c>
    </row>
    <row r="47" spans="2:6" ht="21.5" thickBot="1">
      <c r="B47" s="16">
        <v>45</v>
      </c>
      <c r="C47" s="20" t="s">
        <v>31</v>
      </c>
      <c r="E47" s="14">
        <v>45</v>
      </c>
      <c r="F47" s="14" t="s">
        <v>31</v>
      </c>
    </row>
    <row r="48" spans="2:6" ht="21.5" thickBot="1">
      <c r="B48" s="16">
        <v>46</v>
      </c>
      <c r="C48" s="19" t="s">
        <v>29</v>
      </c>
      <c r="E48" s="14">
        <v>46</v>
      </c>
      <c r="F48" s="14" t="s">
        <v>29</v>
      </c>
    </row>
    <row r="49" spans="2:6" ht="21.5" thickBot="1">
      <c r="B49" s="16">
        <v>47</v>
      </c>
      <c r="C49" s="19" t="s">
        <v>29</v>
      </c>
      <c r="E49" s="14">
        <v>47</v>
      </c>
      <c r="F49" s="14" t="s">
        <v>29</v>
      </c>
    </row>
    <row r="50" spans="2:6" ht="21.5" thickBot="1">
      <c r="B50" s="16">
        <v>48</v>
      </c>
      <c r="C50" s="19" t="s">
        <v>29</v>
      </c>
      <c r="E50" s="14">
        <v>48</v>
      </c>
      <c r="F50" s="14" t="s">
        <v>29</v>
      </c>
    </row>
    <row r="51" spans="2:6" ht="21.5" thickBot="1">
      <c r="B51" s="16">
        <v>49</v>
      </c>
      <c r="C51" s="19" t="s">
        <v>29</v>
      </c>
      <c r="E51" s="14">
        <v>49</v>
      </c>
      <c r="F51" s="14" t="s">
        <v>29</v>
      </c>
    </row>
    <row r="52" spans="2:6" ht="21.5" thickBot="1">
      <c r="B52" s="16">
        <v>50</v>
      </c>
      <c r="C52" s="19" t="s">
        <v>30</v>
      </c>
      <c r="E52" s="14">
        <v>50</v>
      </c>
      <c r="F52" s="14" t="s">
        <v>30</v>
      </c>
    </row>
    <row r="53" spans="2:6" ht="21.5" thickBot="1">
      <c r="B53" s="16">
        <v>51</v>
      </c>
      <c r="C53" s="19" t="s">
        <v>29</v>
      </c>
      <c r="E53" s="14">
        <v>51</v>
      </c>
      <c r="F53" s="14" t="s">
        <v>29</v>
      </c>
    </row>
    <row r="54" spans="2:6" ht="21.5" thickBot="1">
      <c r="B54" s="16">
        <v>52</v>
      </c>
      <c r="C54" s="19" t="s">
        <v>30</v>
      </c>
      <c r="E54" s="14">
        <v>52</v>
      </c>
      <c r="F54" s="14" t="s">
        <v>30</v>
      </c>
    </row>
    <row r="55" spans="2:6" ht="21.5" thickBot="1">
      <c r="B55" s="16">
        <v>53</v>
      </c>
      <c r="C55" s="19" t="s">
        <v>30</v>
      </c>
      <c r="E55" s="14">
        <v>53</v>
      </c>
      <c r="F55" s="14" t="s">
        <v>30</v>
      </c>
    </row>
    <row r="56" spans="2:6" ht="21.5" thickBot="1">
      <c r="B56" s="16">
        <v>54</v>
      </c>
      <c r="C56" s="19" t="s">
        <v>29</v>
      </c>
      <c r="E56" s="14">
        <v>54</v>
      </c>
      <c r="F56" s="14" t="s">
        <v>29</v>
      </c>
    </row>
    <row r="57" spans="2:6" ht="21.5" thickBot="1">
      <c r="B57" s="16">
        <v>55</v>
      </c>
      <c r="C57" s="20" t="s">
        <v>29</v>
      </c>
      <c r="E57" s="14">
        <v>55</v>
      </c>
      <c r="F57" s="14" t="s">
        <v>29</v>
      </c>
    </row>
    <row r="58" spans="2:6" ht="21.5" thickBot="1">
      <c r="B58" s="16">
        <v>56</v>
      </c>
      <c r="C58" s="19"/>
      <c r="E58" s="14">
        <v>56</v>
      </c>
      <c r="F58" s="14" t="s">
        <v>37</v>
      </c>
    </row>
    <row r="59" spans="2:6" ht="21.5" thickBot="1">
      <c r="B59" s="16">
        <v>57</v>
      </c>
      <c r="C59" s="19"/>
      <c r="E59" s="14">
        <v>57</v>
      </c>
      <c r="F59" s="14" t="s">
        <v>37</v>
      </c>
    </row>
    <row r="60" spans="2:6" ht="21.5" thickBot="1">
      <c r="B60" s="16">
        <v>58</v>
      </c>
      <c r="C60" s="19"/>
      <c r="E60" s="14">
        <v>58</v>
      </c>
      <c r="F60" s="14" t="s">
        <v>37</v>
      </c>
    </row>
    <row r="61" spans="2:6" ht="21.5" thickBot="1">
      <c r="B61" s="16">
        <v>59</v>
      </c>
      <c r="C61" s="19" t="s">
        <v>29</v>
      </c>
      <c r="E61" s="14">
        <v>59</v>
      </c>
      <c r="F61" s="14" t="s">
        <v>29</v>
      </c>
    </row>
    <row r="62" spans="2:6" ht="21.5" thickBot="1">
      <c r="B62" s="16">
        <v>60</v>
      </c>
      <c r="C62" s="19" t="s">
        <v>29</v>
      </c>
      <c r="E62" s="14">
        <v>60</v>
      </c>
      <c r="F62" s="14" t="s">
        <v>29</v>
      </c>
    </row>
    <row r="63" spans="2:6" ht="21.5" thickBot="1">
      <c r="B63" s="16">
        <v>61</v>
      </c>
      <c r="C63" s="19"/>
      <c r="E63" s="14">
        <v>61</v>
      </c>
      <c r="F63" s="14" t="s">
        <v>31</v>
      </c>
    </row>
    <row r="64" spans="2:6" ht="21.5" thickBot="1">
      <c r="B64" s="16">
        <v>62</v>
      </c>
      <c r="C64" s="20" t="s">
        <v>29</v>
      </c>
      <c r="E64" s="14">
        <v>62</v>
      </c>
      <c r="F64" s="14" t="s">
        <v>29</v>
      </c>
    </row>
    <row r="65" spans="2:6" ht="21.5" thickBot="1">
      <c r="B65" s="16">
        <v>63</v>
      </c>
      <c r="C65" s="19" t="s">
        <v>29</v>
      </c>
      <c r="E65" s="14">
        <v>63</v>
      </c>
      <c r="F65" s="14" t="s">
        <v>29</v>
      </c>
    </row>
    <row r="66" spans="2:6" ht="21.5" thickBot="1">
      <c r="B66" s="16">
        <v>64</v>
      </c>
      <c r="C66" s="20" t="s">
        <v>30</v>
      </c>
      <c r="E66" s="14">
        <v>64</v>
      </c>
      <c r="F66" s="14" t="s">
        <v>30</v>
      </c>
    </row>
    <row r="67" spans="2:6" ht="21.5" thickBot="1">
      <c r="B67" s="16">
        <v>65</v>
      </c>
      <c r="C67" s="20" t="s">
        <v>31</v>
      </c>
      <c r="E67" s="14">
        <v>65</v>
      </c>
      <c r="F67" s="14" t="s">
        <v>31</v>
      </c>
    </row>
    <row r="68" spans="2:6" ht="21.5" thickBot="1">
      <c r="B68" s="16">
        <v>66</v>
      </c>
      <c r="C68" s="20" t="s">
        <v>29</v>
      </c>
      <c r="E68" s="14">
        <v>66</v>
      </c>
      <c r="F68" s="14" t="s">
        <v>29</v>
      </c>
    </row>
    <row r="69" spans="2:6" ht="21.5" thickBot="1">
      <c r="B69" s="16">
        <v>67</v>
      </c>
      <c r="C69" s="20" t="s">
        <v>30</v>
      </c>
      <c r="E69" s="14">
        <v>67</v>
      </c>
      <c r="F69" s="14" t="s">
        <v>30</v>
      </c>
    </row>
    <row r="70" spans="2:6" ht="21.5" thickBot="1">
      <c r="B70" s="16">
        <v>68</v>
      </c>
      <c r="C70" s="20" t="s">
        <v>31</v>
      </c>
      <c r="E70" s="14">
        <v>68</v>
      </c>
      <c r="F70" s="14" t="s">
        <v>31</v>
      </c>
    </row>
    <row r="71" spans="2:6" ht="21.5" thickBot="1">
      <c r="B71" s="16">
        <v>69</v>
      </c>
      <c r="C71" s="20"/>
      <c r="E71" s="14">
        <v>69</v>
      </c>
      <c r="F71" s="14" t="s">
        <v>31</v>
      </c>
    </row>
    <row r="72" spans="2:6" ht="21.5" thickBot="1">
      <c r="B72" s="16">
        <v>70</v>
      </c>
      <c r="C72" s="20" t="s">
        <v>29</v>
      </c>
      <c r="E72" s="14">
        <v>70</v>
      </c>
      <c r="F72" s="14" t="s">
        <v>29</v>
      </c>
    </row>
    <row r="73" spans="2:6" ht="21.5" thickBot="1">
      <c r="B73" s="16">
        <v>71</v>
      </c>
      <c r="C73" s="19" t="s">
        <v>29</v>
      </c>
      <c r="E73" s="14">
        <v>71</v>
      </c>
      <c r="F73" s="14" t="s">
        <v>29</v>
      </c>
    </row>
    <row r="74" spans="2:6" ht="21.5" thickBot="1">
      <c r="B74" s="16">
        <v>72</v>
      </c>
      <c r="C74" s="19" t="s">
        <v>29</v>
      </c>
      <c r="E74" s="14">
        <v>72</v>
      </c>
      <c r="F74" s="14" t="s">
        <v>29</v>
      </c>
    </row>
    <row r="75" spans="2:6" ht="21.5" thickBot="1">
      <c r="B75" s="16">
        <v>73</v>
      </c>
      <c r="C75" s="20" t="s">
        <v>29</v>
      </c>
      <c r="E75" s="14">
        <v>73</v>
      </c>
      <c r="F75" s="14" t="s">
        <v>29</v>
      </c>
    </row>
    <row r="76" spans="2:6" ht="21.5" thickBot="1">
      <c r="B76" s="16">
        <v>74</v>
      </c>
      <c r="C76" s="20" t="s">
        <v>29</v>
      </c>
      <c r="E76" s="14">
        <v>74</v>
      </c>
      <c r="F76" s="14" t="s">
        <v>29</v>
      </c>
    </row>
    <row r="77" spans="2:6" ht="21.5" thickBot="1">
      <c r="B77" s="16">
        <v>75</v>
      </c>
      <c r="C77" s="20"/>
      <c r="E77" s="14">
        <v>75</v>
      </c>
      <c r="F77" s="14" t="s">
        <v>31</v>
      </c>
    </row>
    <row r="78" spans="2:6" ht="21.5" thickBot="1">
      <c r="B78" s="16">
        <v>76</v>
      </c>
      <c r="C78" s="20" t="s">
        <v>29</v>
      </c>
      <c r="E78" s="14">
        <v>76</v>
      </c>
      <c r="F78" s="14" t="s">
        <v>29</v>
      </c>
    </row>
    <row r="79" spans="2:6" ht="21.5" thickBot="1">
      <c r="B79" s="16">
        <v>77</v>
      </c>
      <c r="C79" s="19"/>
      <c r="E79" s="14">
        <v>77</v>
      </c>
      <c r="F79" s="14"/>
    </row>
    <row r="80" spans="2:6" ht="21.5" thickBot="1">
      <c r="B80" s="16">
        <v>78</v>
      </c>
      <c r="C80" s="19" t="s">
        <v>29</v>
      </c>
      <c r="E80" s="14">
        <v>78</v>
      </c>
      <c r="F80" s="14" t="s">
        <v>29</v>
      </c>
    </row>
    <row r="81" spans="2:6" ht="21.5" thickBot="1">
      <c r="B81" s="16">
        <v>79</v>
      </c>
      <c r="C81" s="19" t="s">
        <v>30</v>
      </c>
      <c r="E81" s="14">
        <v>79</v>
      </c>
      <c r="F81" s="14" t="s">
        <v>30</v>
      </c>
    </row>
    <row r="82" spans="2:6" ht="21.5" thickBot="1">
      <c r="B82" s="16">
        <v>80</v>
      </c>
      <c r="C82" s="20" t="s">
        <v>31</v>
      </c>
      <c r="E82" s="14">
        <v>80</v>
      </c>
      <c r="F82" s="14" t="s">
        <v>31</v>
      </c>
    </row>
    <row r="83" spans="2:6" ht="21.5" thickBot="1">
      <c r="B83" s="16">
        <v>81</v>
      </c>
      <c r="C83" s="19" t="s">
        <v>29</v>
      </c>
      <c r="E83" s="14">
        <v>81</v>
      </c>
      <c r="F83" s="14" t="s">
        <v>29</v>
      </c>
    </row>
    <row r="84" spans="2:6" ht="21.5" thickBot="1">
      <c r="B84" s="16">
        <v>82</v>
      </c>
      <c r="C84" s="19" t="s">
        <v>29</v>
      </c>
      <c r="E84" s="14">
        <v>82</v>
      </c>
      <c r="F84" s="14" t="s">
        <v>29</v>
      </c>
    </row>
    <row r="85" spans="2:6" ht="21.5" thickBot="1">
      <c r="B85" s="16">
        <v>83</v>
      </c>
      <c r="C85" s="20" t="s">
        <v>30</v>
      </c>
      <c r="E85" s="14">
        <v>83</v>
      </c>
      <c r="F85" s="14" t="s">
        <v>30</v>
      </c>
    </row>
    <row r="86" spans="2:6" ht="21.5" thickBot="1">
      <c r="B86" s="16">
        <v>84</v>
      </c>
      <c r="C86" s="19"/>
      <c r="E86" s="14">
        <v>84</v>
      </c>
      <c r="F86" s="14" t="s">
        <v>37</v>
      </c>
    </row>
    <row r="87" spans="2:6" ht="21.5" thickBot="1">
      <c r="B87" s="16">
        <v>85</v>
      </c>
      <c r="C87" s="19" t="s">
        <v>29</v>
      </c>
      <c r="E87" s="14">
        <v>85</v>
      </c>
      <c r="F87" s="14" t="s">
        <v>29</v>
      </c>
    </row>
    <row r="88" spans="2:6" ht="21.5" thickBot="1">
      <c r="B88" s="16">
        <v>86</v>
      </c>
      <c r="C88" s="20" t="s">
        <v>29</v>
      </c>
      <c r="E88" s="14">
        <v>86</v>
      </c>
      <c r="F88" s="14" t="s">
        <v>29</v>
      </c>
    </row>
    <row r="89" spans="2:6" ht="21.5" thickBot="1">
      <c r="B89" s="16">
        <v>87</v>
      </c>
      <c r="C89" s="19" t="s">
        <v>30</v>
      </c>
      <c r="E89" s="14">
        <v>87</v>
      </c>
      <c r="F89" s="14" t="s">
        <v>30</v>
      </c>
    </row>
    <row r="90" spans="2:6" ht="21.5" thickBot="1">
      <c r="B90" s="16">
        <v>88</v>
      </c>
      <c r="C90" s="20" t="s">
        <v>31</v>
      </c>
      <c r="E90" s="14">
        <v>88</v>
      </c>
      <c r="F90" s="14" t="s">
        <v>31</v>
      </c>
    </row>
    <row r="91" spans="2:6" ht="21.5" thickBot="1">
      <c r="B91" s="16">
        <v>89</v>
      </c>
      <c r="C91" s="20"/>
      <c r="E91" s="14">
        <v>89</v>
      </c>
      <c r="F91" s="14" t="s">
        <v>39</v>
      </c>
    </row>
    <row r="92" spans="2:6" ht="21.5" thickBot="1">
      <c r="B92" s="16">
        <v>90</v>
      </c>
      <c r="C92" s="20" t="s">
        <v>29</v>
      </c>
      <c r="E92" s="14">
        <v>90</v>
      </c>
      <c r="F92" s="14" t="s">
        <v>29</v>
      </c>
    </row>
    <row r="93" spans="2:6" ht="21.5" thickBot="1">
      <c r="B93" s="16">
        <v>91</v>
      </c>
      <c r="C93" s="20"/>
      <c r="E93" s="14">
        <v>91</v>
      </c>
      <c r="F93" s="14" t="s">
        <v>31</v>
      </c>
    </row>
    <row r="94" spans="2:6" ht="21.5" thickBot="1">
      <c r="B94" s="16">
        <v>92</v>
      </c>
      <c r="C94" s="19"/>
      <c r="E94" s="14">
        <v>92</v>
      </c>
      <c r="F94" s="14" t="s">
        <v>31</v>
      </c>
    </row>
    <row r="95" spans="2:6" ht="21.5" thickBot="1">
      <c r="B95" s="17">
        <v>93</v>
      </c>
      <c r="C95" s="21" t="s">
        <v>29</v>
      </c>
      <c r="E95" s="14">
        <v>93</v>
      </c>
      <c r="F95" s="1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Ewan Gerken</dc:creator>
  <cp:keywords/>
  <dc:description/>
  <cp:lastModifiedBy>Ewan Gerken</cp:lastModifiedBy>
  <cp:revision/>
  <dcterms:created xsi:type="dcterms:W3CDTF">2021-07-07T06:17:02Z</dcterms:created>
  <dcterms:modified xsi:type="dcterms:W3CDTF">2026-02-15T08:52:15Z</dcterms:modified>
  <cp:category/>
  <cp:contentStatus/>
</cp:coreProperties>
</file>