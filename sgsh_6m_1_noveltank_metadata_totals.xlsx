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wan Gerken\Desktop\R projects\Novel_tank\"/>
    </mc:Choice>
  </mc:AlternateContent>
  <xr:revisionPtr revIDLastSave="0" documentId="13_ncr:1_{E4967D35-B79A-42CF-8D97-69A25B2D5CC3}" xr6:coauthVersionLast="47" xr6:coauthVersionMax="47" xr10:uidLastSave="{00000000-0000-0000-0000-000000000000}"/>
  <bookViews>
    <workbookView xWindow="28680" yWindow="-120" windowWidth="29040" windowHeight="15840" xr2:uid="{1CBBD9C5-4757-634B-8217-DBDCED02CCD6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2" i="1" l="1"/>
  <c r="Y2" i="1" s="1"/>
  <c r="X3" i="1"/>
  <c r="Y3" i="1" s="1"/>
  <c r="X4" i="1"/>
  <c r="Y4" i="1" s="1"/>
  <c r="X5" i="1"/>
  <c r="Y5" i="1" s="1"/>
  <c r="X6" i="1"/>
  <c r="X7" i="1"/>
  <c r="Y7" i="1" s="1"/>
  <c r="X8" i="1"/>
  <c r="Y8" i="1" s="1"/>
  <c r="X9" i="1"/>
  <c r="Y9" i="1" s="1"/>
  <c r="X10" i="1"/>
  <c r="X11" i="1"/>
  <c r="X12" i="1"/>
  <c r="Y12" i="1" s="1"/>
  <c r="X13" i="1"/>
  <c r="Y13" i="1" s="1"/>
  <c r="X14" i="1"/>
  <c r="Y14" i="1" s="1"/>
  <c r="X15" i="1"/>
  <c r="Y15" i="1" s="1"/>
  <c r="X16" i="1"/>
  <c r="Y16" i="1" s="1"/>
  <c r="X17" i="1"/>
  <c r="Y17" i="1" s="1"/>
  <c r="X18" i="1"/>
  <c r="X19" i="1"/>
  <c r="Y19" i="1" s="1"/>
  <c r="X20" i="1"/>
  <c r="Y20" i="1" s="1"/>
  <c r="X21" i="1"/>
  <c r="Y21" i="1" s="1"/>
  <c r="X22" i="1"/>
  <c r="X23" i="1"/>
  <c r="X24" i="1"/>
  <c r="Y24" i="1" s="1"/>
  <c r="X25" i="1"/>
  <c r="Y25" i="1" s="1"/>
  <c r="X26" i="1"/>
  <c r="Y26" i="1" s="1"/>
  <c r="X27" i="1"/>
  <c r="Y27" i="1" s="1"/>
  <c r="X28" i="1"/>
  <c r="Y28" i="1" s="1"/>
  <c r="X29" i="1"/>
  <c r="Y29" i="1" s="1"/>
  <c r="X30" i="1"/>
  <c r="X31" i="1"/>
  <c r="Y31" i="1" s="1"/>
  <c r="X32" i="1"/>
  <c r="Y32" i="1" s="1"/>
  <c r="X33" i="1"/>
  <c r="Y33" i="1" s="1"/>
  <c r="X34" i="1"/>
  <c r="X35" i="1"/>
  <c r="X36" i="1"/>
  <c r="Y36" i="1" s="1"/>
  <c r="X37" i="1"/>
  <c r="Y37" i="1" s="1"/>
  <c r="X38" i="1"/>
  <c r="X39" i="1"/>
  <c r="X40" i="1"/>
  <c r="Y40" i="1" s="1"/>
  <c r="X41" i="1"/>
  <c r="Y41" i="1" s="1"/>
  <c r="X42" i="1"/>
  <c r="Y42" i="1" s="1"/>
  <c r="X43" i="1"/>
  <c r="X44" i="1"/>
  <c r="Y44" i="1" s="1"/>
  <c r="X45" i="1"/>
  <c r="Y45" i="1" s="1"/>
  <c r="X46" i="1"/>
  <c r="X47" i="1"/>
  <c r="X48" i="1"/>
  <c r="Y48" i="1" s="1"/>
  <c r="X49" i="1"/>
  <c r="Y49" i="1" s="1"/>
  <c r="X50" i="1"/>
  <c r="X51" i="1"/>
  <c r="X52" i="1"/>
  <c r="Y52" i="1" s="1"/>
  <c r="X53" i="1"/>
  <c r="Y53" i="1" s="1"/>
  <c r="X54" i="1"/>
  <c r="Y54" i="1" s="1"/>
  <c r="X55" i="1"/>
  <c r="X56" i="1"/>
  <c r="Y56" i="1" s="1"/>
  <c r="X57" i="1"/>
  <c r="Y57" i="1" s="1"/>
  <c r="X58" i="1"/>
  <c r="X59" i="1"/>
  <c r="X60" i="1"/>
  <c r="Y60" i="1" s="1"/>
  <c r="X61" i="1"/>
  <c r="Y61" i="1" s="1"/>
  <c r="X62" i="1"/>
  <c r="X63" i="1"/>
  <c r="X64" i="1"/>
  <c r="Y64" i="1" s="1"/>
  <c r="X65" i="1"/>
  <c r="Y65" i="1" s="1"/>
  <c r="X66" i="1"/>
  <c r="Y66" i="1" s="1"/>
  <c r="X67" i="1"/>
  <c r="Y67" i="1" s="1"/>
  <c r="Y6" i="1"/>
  <c r="Y10" i="1"/>
  <c r="Y11" i="1"/>
  <c r="Y18" i="1"/>
  <c r="Y22" i="1"/>
  <c r="Y23" i="1"/>
  <c r="Y30" i="1"/>
  <c r="Y34" i="1"/>
  <c r="Y35" i="1"/>
  <c r="Y38" i="1"/>
  <c r="Y39" i="1"/>
  <c r="Y43" i="1"/>
  <c r="Y46" i="1"/>
  <c r="Y47" i="1"/>
  <c r="Y50" i="1"/>
  <c r="Y51" i="1"/>
  <c r="Y55" i="1"/>
  <c r="Y58" i="1"/>
  <c r="Y59" i="1"/>
  <c r="Y62" i="1"/>
  <c r="Y63" i="1"/>
</calcChain>
</file>

<file path=xl/sharedStrings.xml><?xml version="1.0" encoding="utf-8"?>
<sst xmlns="http://schemas.openxmlformats.org/spreadsheetml/2006/main" count="604" uniqueCount="66">
  <si>
    <t>fish_id</t>
  </si>
  <si>
    <t>M</t>
  </si>
  <si>
    <t>F</t>
  </si>
  <si>
    <t>start_time</t>
  </si>
  <si>
    <t>sex</t>
  </si>
  <si>
    <t>zantiks_unit</t>
  </si>
  <si>
    <t>arena_position</t>
  </si>
  <si>
    <t>tank</t>
  </si>
  <si>
    <t>genotype</t>
  </si>
  <si>
    <t>keep</t>
  </si>
  <si>
    <t>notes</t>
  </si>
  <si>
    <t>date</t>
  </si>
  <si>
    <t>L</t>
  </si>
  <si>
    <t>R</t>
  </si>
  <si>
    <t>2.11.23</t>
  </si>
  <si>
    <t>initially still on bottom</t>
  </si>
  <si>
    <t>this trial went really long over 750s</t>
  </si>
  <si>
    <t>still/fast after test. while geno capture</t>
  </si>
  <si>
    <t>this pair was disturbed at the start.</t>
  </si>
  <si>
    <t>at bottom initially then fast to top. hyper.</t>
  </si>
  <si>
    <t>went long. WHY. Smaller female than 52. hyper.</t>
  </si>
  <si>
    <t>still in bottom corner. Then later just still on bottom in middle. Tracking flickering in and out</t>
  </si>
  <si>
    <t>Y</t>
  </si>
  <si>
    <t>N</t>
  </si>
  <si>
    <t>Fish</t>
  </si>
  <si>
    <t>sgsh S387Lfs genotype</t>
  </si>
  <si>
    <t>wt</t>
  </si>
  <si>
    <t>hom</t>
  </si>
  <si>
    <t>het</t>
  </si>
  <si>
    <t>ZONE1_DISTANCE</t>
  </si>
  <si>
    <t>ZONE2_DISTANCE</t>
  </si>
  <si>
    <t>ZONE3_DISTANCE</t>
  </si>
  <si>
    <t>ZONE1_TIME</t>
  </si>
  <si>
    <t>ZONE2_TIME</t>
  </si>
  <si>
    <t>ZONE3_TIME</t>
  </si>
  <si>
    <t>ZONE1_COUNT</t>
  </si>
  <si>
    <t>ZONE2_COUNT</t>
  </si>
  <si>
    <t>ZONE3_COUNT</t>
  </si>
  <si>
    <t>TIME_TO_TOP</t>
  </si>
  <si>
    <t>Top at start</t>
  </si>
  <si>
    <t>Perfect time</t>
  </si>
  <si>
    <t>626s long</t>
  </si>
  <si>
    <t>initially still on bottom. 617s</t>
  </si>
  <si>
    <t>631s</t>
  </si>
  <si>
    <t>684s</t>
  </si>
  <si>
    <t>Start data</t>
  </si>
  <si>
    <t>767s</t>
  </si>
  <si>
    <t>619s</t>
  </si>
  <si>
    <t>623s</t>
  </si>
  <si>
    <t>unresponsive on bottom. 748s</t>
  </si>
  <si>
    <t>612s</t>
  </si>
  <si>
    <t>610s</t>
  </si>
  <si>
    <t>NA</t>
  </si>
  <si>
    <t>733s</t>
  </si>
  <si>
    <t>at bottom initially. Non-responder</t>
  </si>
  <si>
    <t>704s</t>
  </si>
  <si>
    <t>602s</t>
  </si>
  <si>
    <t>Sexes from video, Perfect time</t>
  </si>
  <si>
    <t>Sexes from video. 618s</t>
  </si>
  <si>
    <t>TOTAL_DISTANCE</t>
  </si>
  <si>
    <t>Z1_DIST_RATIO</t>
  </si>
  <si>
    <t>keep_t2t</t>
  </si>
  <si>
    <t>start_time_group</t>
  </si>
  <si>
    <t>morn</t>
  </si>
  <si>
    <t>midd</t>
  </si>
  <si>
    <t>arvo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</si>
</sst>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6"/>
      <color rgb="FF000000"/>
      <name val="Arial"/>
      <family val="2"/>
    </font>
    <font>
      <sz val="16"/>
      <color theme="1"/>
      <name val="Calibri"/>
      <family val="2"/>
      <scheme val="minor"/>
    </font>
    <font>
      <sz val="16"/>
      <color rgb="FF333333"/>
      <name val="Helvetica Neue"/>
      <family val="2"/>
    </font>
    <font>
      <sz val="16"/>
      <color rgb="FF000000"/>
      <name val="Calibri"/>
      <family val="2"/>
      <scheme val="minor"/>
    </font>
    <font>
      <sz val="16"/>
      <color rgb="FF333333"/>
      <name val="Calibri"/>
      <family val="2"/>
      <scheme val="minor"/>
    </font>
    <font>
      <sz val="8"/>
      <color rgb="FF333333"/>
      <name val="Arial"/>
      <family val="2"/>
    </font>
    <font>
      <b/>
      <sz val="8"/>
      <color rgb="FF33333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/>
    <xf numFmtId="0" fontId="4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horizontal="right" vertical="center" shrinkToFit="1"/>
    </xf>
    <xf numFmtId="2" fontId="3" fillId="0" borderId="0" xfId="0" applyNumberFormat="1" applyFont="1" applyAlignment="1">
      <alignment horizontal="right" vertical="center" shrinkToFit="1"/>
    </xf>
    <xf numFmtId="14" fontId="3" fillId="0" borderId="0" xfId="0" applyNumberFormat="1" applyFont="1" applyAlignment="1">
      <alignment horizontal="right" vertical="center" shrinkToFit="1"/>
    </xf>
    <xf numFmtId="0" fontId="5" fillId="0" borderId="0" xfId="0" applyFont="1" applyAlignment="1">
      <alignment horizontal="right" vertical="center" shrinkToFit="1"/>
    </xf>
    <xf numFmtId="0" fontId="6" fillId="0" borderId="0" xfId="0" applyFont="1" applyAlignment="1">
      <alignment horizontal="right" vertical="center" shrinkToFit="1"/>
    </xf>
    <xf numFmtId="0" fontId="6" fillId="0" borderId="0" xfId="0" applyFont="1" applyAlignment="1">
      <alignment horizontal="right" shrinkToFit="1"/>
    </xf>
    <xf numFmtId="0" fontId="5" fillId="0" borderId="0" xfId="0" applyFont="1" applyAlignment="1">
      <alignment horizontal="right" shrinkToFit="1"/>
    </xf>
    <xf numFmtId="0" fontId="8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27"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numFmt numFmtId="2" formatCode="0.00"/>
      <alignment horizontal="right" vertical="center" textRotation="0" wrapText="0" indent="0" justifyLastLine="0" shrinkToFit="1" readingOrder="0"/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numFmt numFmtId="0" formatCode="General"/>
      <alignment horizontal="right" vertical="center" textRotation="0" wrapText="0" indent="0" justifyLastLine="0" shrinkToFit="1" readingOrder="0"/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numFmt numFmtId="0" formatCode="General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right" vertical="center" textRotation="0" wrapText="0" indent="0" justifyLastLine="0" shrinkToFit="1" readingOrder="0"/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alignment horizontal="right" vertical="center" textRotation="0" wrapText="0" indent="0" justifyLastLine="0" shrinkToFit="1" readingOrder="0"/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alignment horizontal="right" vertical="center" textRotation="0" wrapText="0" indent="0" justifyLastLine="0" shrinkToFit="1" readingOrder="0"/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alignment horizontal="right" vertical="center" textRotation="0" wrapText="0" indent="0" justifyLastLine="0" shrinkToFit="1" readingOrder="0"/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alignment horizontal="right" vertical="center" textRotation="0" wrapText="0" indent="0" justifyLastLine="0" shrinkToFit="1" readingOrder="0"/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alignment horizontal="right" vertical="center" textRotation="0" wrapText="0" indent="0" justifyLastLine="0" shrinkToFit="1" readingOrder="0"/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alignment horizontal="right" vertical="center" textRotation="0" wrapText="0" indent="0" justifyLastLine="0" shrinkToFit="1" readingOrder="0"/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alignment horizontal="right" vertical="center" textRotation="0" wrapText="0" indent="0" justifyLastLine="0" shrinkToFit="1" readingOrder="0"/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alignment horizontal="right" vertical="center" textRotation="0" wrapText="0" indent="0" justifyLastLine="0" shrinkToFit="1" readingOrder="0"/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alignment horizontal="right" vertical="center" textRotation="0" wrapText="0" indent="0" justifyLastLine="0" shrinkToFit="1" readingOrder="0"/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alignment horizontal="right" vertical="center" textRotation="0" wrapText="0" indent="0" justifyLastLine="0" shrinkToFit="1" readingOrder="0"/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alignment horizontal="right" vertical="center" textRotation="0" wrapText="0" indent="0" justifyLastLine="0" shrinkToFit="1" readingOrder="0"/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right" vertical="center" textRotation="0" wrapText="0" indent="0" justifyLastLine="0" shrinkToFit="1" readingOrder="0"/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alignment horizontal="right" vertical="center" textRotation="0" wrapText="0" indent="0" justifyLastLine="0" shrinkToFit="1" readingOrder="0"/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alignment horizontal="right" vertical="center" textRotation="0" wrapText="0" indent="0" justifyLastLine="0" shrinkToFit="1" readingOrder="0"/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2" formatCode="0.0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right" vertical="center" textRotation="0" wrapText="0" indent="0" justifyLastLine="0" shrinkToFit="1" readingOrder="0"/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numFmt numFmtId="2" formatCode="0.00"/>
      <alignment horizontal="right" vertical="center" textRotation="0" wrapText="0" indent="0" justifyLastLine="0" shrinkToFit="1" readingOrder="0"/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alignment horizontal="right" vertical="center" textRotation="0" wrapText="0" indent="0" justifyLastLine="0" shrinkToFit="1" readingOrder="0"/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alignment horizontal="right" vertical="center" textRotation="0" wrapText="0" indent="0" justifyLastLine="0" shrinkToFit="1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F5E8D59-F64B-8746-9E56-4D81E3763389}" name="Table1" displayName="Table1" ref="A1:Y67" totalsRowShown="0" headerRowDxfId="26" dataDxfId="25">
  <autoFilter ref="A1:Y67" xr:uid="{25068204-E17E-AE47-82E1-5E5493FE3B88}"/>
  <tableColumns count="25">
    <tableColumn id="1" xr3:uid="{2ADEC566-5975-0E45-BC21-6F80573C6AB3}" name="fish_id" dataDxfId="24"/>
    <tableColumn id="3" xr3:uid="{3905AC11-8848-A14D-8C06-C45320E6ACC9}" name="start_time" dataDxfId="0"/>
    <tableColumn id="7" xr3:uid="{0DBBB846-48BD-EC43-AA83-6BD26209A389}" name="tank" dataDxfId="23"/>
    <tableColumn id="9" xr3:uid="{45307A71-D339-42E1-8CEB-F54DB34BD42C}" name="zantiks_unit" dataDxfId="22"/>
    <tableColumn id="10" xr3:uid="{E0041A89-0877-4ABA-8CB1-A641735947CD}" name="arena_position" dataDxfId="21"/>
    <tableColumn id="12" xr3:uid="{65C67187-7EF1-4E57-AB08-0AC88E55E53C}" name="start_time_group" dataDxfId="20"/>
    <tableColumn id="4" xr3:uid="{59D24092-F399-6C48-8366-C08AC858AB72}" name="sex" dataDxfId="19"/>
    <tableColumn id="5" xr3:uid="{35C2081A-554E-F642-8D04-E6BCC5D2722E}" name="genotype" dataDxfId="18"/>
    <tableColumn id="6" xr3:uid="{4B762495-EFB3-1A4E-8CD6-68B55E03C30A}" name="keep" dataDxfId="17"/>
    <tableColumn id="11" xr3:uid="{06D6A09D-57F0-4487-86B3-B678BE83E35D}" name="notes" dataDxfId="16"/>
    <tableColumn id="8" xr3:uid="{AAE57C4D-C263-3342-8137-05F09D673B3C}" name="date" dataDxfId="15"/>
    <tableColumn id="2" xr3:uid="{57D9ECEB-11BF-44B8-B4DD-FA7DAC7741C6}" name="ZONE1_DISTANCE" dataDxfId="14"/>
    <tableColumn id="13" xr3:uid="{92B74E01-1212-443C-A437-5A536AD21A4A}" name="ZONE2_DISTANCE" dataDxfId="13"/>
    <tableColumn id="14" xr3:uid="{6ED097E5-07C2-46A1-B2E1-6658A7CC440B}" name="ZONE3_DISTANCE" dataDxfId="12"/>
    <tableColumn id="15" xr3:uid="{AA3C4371-260A-43A1-978F-023433FB27C2}" name="ZONE1_TIME" dataDxfId="11"/>
    <tableColumn id="16" xr3:uid="{75A90D88-F797-4414-939A-A686F30BD5B3}" name="ZONE2_TIME" dataDxfId="10"/>
    <tableColumn id="17" xr3:uid="{C2EE1018-7B27-4644-B04C-1D7A055266B0}" name="ZONE3_TIME" dataDxfId="9"/>
    <tableColumn id="18" xr3:uid="{A4956F85-FA91-410F-8C35-2F836F2CA924}" name="ZONE1_COUNT" dataDxfId="8"/>
    <tableColumn id="19" xr3:uid="{03F46CB9-4D6B-458E-99C5-992E6F3F5B4F}" name="ZONE2_COUNT" dataDxfId="7"/>
    <tableColumn id="20" xr3:uid="{279A2B66-1067-45C4-B32C-933E4CF6928C}" name="ZONE3_COUNT" dataDxfId="6"/>
    <tableColumn id="21" xr3:uid="{975705F3-9CF9-42DE-8D3D-70095587F11A}" name="TIME_TO_TOP" dataDxfId="5"/>
    <tableColumn id="22" xr3:uid="{5ABDFA64-5806-4A6B-87CA-BA9328A40F06}" name="Top at start" dataDxfId="4"/>
    <tableColumn id="26" xr3:uid="{059204D7-7FD4-42B2-8DDC-3FA7670F9D33}" name="keep_t2t" dataDxfId="3"/>
    <tableColumn id="23" xr3:uid="{B2D0A94E-E0CE-40E5-97F8-58DB516DA548}" name="TOTAL_DISTANCE" dataDxfId="2">
      <calculatedColumnFormula>SUM(Table1[[#This Row],[ZONE1_DISTANCE]:[ZONE3_DISTANCE]])</calculatedColumnFormula>
    </tableColumn>
    <tableColumn id="24" xr3:uid="{4CE6EE4B-AC78-4D73-9F70-5ECB369CB73D}" name="Z1_DIST_RATIO" dataDxfId="1">
      <calculatedColumnFormula>Table1[[#This Row],[ZONE1_DISTANCE]]/Table1[[#This Row],[TOTAL_DISTANCE]]</calculatedColumnFormula>
    </tableColumn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2261E-3219-3A41-A228-8BF720AF485A}">
  <dimension ref="A1:Y122"/>
  <sheetViews>
    <sheetView tabSelected="1" topLeftCell="A25" zoomScale="60" zoomScaleNormal="60" workbookViewId="0">
      <pane xSplit="1" topLeftCell="B1" activePane="topRight" state="frozen"/>
      <selection pane="topRight" activeCell="J43" sqref="J43"/>
    </sheetView>
  </sheetViews>
  <sheetFormatPr defaultColWidth="10.58203125" defaultRowHeight="15.5"/>
  <cols>
    <col min="1" max="1" width="9.4140625" customWidth="1"/>
    <col min="2" max="2" width="12.83203125" customWidth="1"/>
    <col min="3" max="3" width="8.75" customWidth="1"/>
    <col min="4" max="4" width="11.75" customWidth="1"/>
    <col min="5" max="5" width="14.33203125" customWidth="1"/>
    <col min="6" max="6" width="22.5" customWidth="1"/>
    <col min="7" max="7" width="8.08203125" customWidth="1"/>
    <col min="8" max="8" width="11.25" customWidth="1"/>
    <col min="9" max="9" width="7.9140625" customWidth="1"/>
    <col min="10" max="10" width="58.58203125" customWidth="1"/>
    <col min="11" max="11" width="10.4140625" customWidth="1"/>
    <col min="12" max="12" width="16.08203125" customWidth="1"/>
    <col min="13" max="13" width="16.6640625" customWidth="1"/>
    <col min="14" max="14" width="15.9140625" customWidth="1"/>
    <col min="15" max="15" width="15.5" customWidth="1"/>
    <col min="16" max="16" width="15.25" customWidth="1"/>
    <col min="17" max="17" width="14.5" customWidth="1"/>
    <col min="18" max="18" width="14.25" customWidth="1"/>
    <col min="19" max="19" width="13.83203125" customWidth="1"/>
    <col min="20" max="20" width="13.5" customWidth="1"/>
    <col min="21" max="21" width="14.25" customWidth="1"/>
    <col min="22" max="22" width="10.58203125" customWidth="1"/>
    <col min="23" max="23" width="14.33203125" customWidth="1"/>
    <col min="24" max="24" width="20.25" customWidth="1"/>
    <col min="25" max="25" width="20.08203125" customWidth="1"/>
  </cols>
  <sheetData>
    <row r="1" spans="1:25" s="13" customFormat="1">
      <c r="A1" s="14" t="s">
        <v>0</v>
      </c>
      <c r="B1" s="14" t="s">
        <v>3</v>
      </c>
      <c r="C1" s="14" t="s">
        <v>7</v>
      </c>
      <c r="D1" s="14" t="s">
        <v>5</v>
      </c>
      <c r="E1" s="14" t="s">
        <v>6</v>
      </c>
      <c r="F1" s="14" t="s">
        <v>62</v>
      </c>
      <c r="G1" s="14" t="s">
        <v>4</v>
      </c>
      <c r="H1" s="14" t="s">
        <v>8</v>
      </c>
      <c r="I1" s="14" t="s">
        <v>9</v>
      </c>
      <c r="J1" s="14" t="s">
        <v>10</v>
      </c>
      <c r="K1" s="14" t="s">
        <v>11</v>
      </c>
      <c r="L1" s="14" t="s">
        <v>29</v>
      </c>
      <c r="M1" s="14" t="s">
        <v>30</v>
      </c>
      <c r="N1" s="14" t="s">
        <v>31</v>
      </c>
      <c r="O1" s="14" t="s">
        <v>32</v>
      </c>
      <c r="P1" s="14" t="s">
        <v>33</v>
      </c>
      <c r="Q1" s="14" t="s">
        <v>34</v>
      </c>
      <c r="R1" s="14" t="s">
        <v>35</v>
      </c>
      <c r="S1" s="14" t="s">
        <v>36</v>
      </c>
      <c r="T1" s="14" t="s">
        <v>37</v>
      </c>
      <c r="U1" s="14" t="s">
        <v>38</v>
      </c>
      <c r="V1" s="14" t="s">
        <v>39</v>
      </c>
      <c r="W1" s="14" t="s">
        <v>61</v>
      </c>
      <c r="X1" s="14" t="s">
        <v>59</v>
      </c>
      <c r="Y1" s="14" t="s">
        <v>60</v>
      </c>
    </row>
    <row r="2" spans="1:25" ht="21">
      <c r="A2" s="4">
        <v>1</v>
      </c>
      <c r="B2" s="5">
        <v>10.199999999999999</v>
      </c>
      <c r="C2" s="4">
        <v>1</v>
      </c>
      <c r="D2" s="4">
        <v>139</v>
      </c>
      <c r="E2" s="4" t="s">
        <v>12</v>
      </c>
      <c r="F2" s="5" t="s">
        <v>63</v>
      </c>
      <c r="G2" s="4" t="s">
        <v>1</v>
      </c>
      <c r="H2" s="9" t="s">
        <v>26</v>
      </c>
      <c r="I2" s="4" t="s">
        <v>22</v>
      </c>
      <c r="J2" s="4" t="s">
        <v>40</v>
      </c>
      <c r="K2" s="6" t="s">
        <v>14</v>
      </c>
      <c r="L2">
        <v>5014</v>
      </c>
      <c r="M2">
        <v>5188.3</v>
      </c>
      <c r="N2">
        <v>11096</v>
      </c>
      <c r="O2">
        <v>98.010999999999996</v>
      </c>
      <c r="P2">
        <v>115.74</v>
      </c>
      <c r="Q2">
        <v>386.423</v>
      </c>
      <c r="R2">
        <v>23</v>
      </c>
      <c r="S2">
        <v>52</v>
      </c>
      <c r="T2">
        <v>30</v>
      </c>
      <c r="U2">
        <v>365.50200000000001</v>
      </c>
      <c r="V2" s="4"/>
      <c r="W2" s="4" t="s">
        <v>22</v>
      </c>
      <c r="X2" s="4">
        <f>SUM(Table1[[#This Row],[ZONE1_DISTANCE]:[ZONE3_DISTANCE]])</f>
        <v>21298.3</v>
      </c>
      <c r="Y2" s="4">
        <f>Table1[[#This Row],[ZONE1_DISTANCE]]/Table1[[#This Row],[TOTAL_DISTANCE]]</f>
        <v>0.23541785025095902</v>
      </c>
    </row>
    <row r="3" spans="1:25" ht="21">
      <c r="A3" s="4">
        <v>2</v>
      </c>
      <c r="B3" s="5">
        <v>10.199999999999999</v>
      </c>
      <c r="C3" s="4">
        <v>1</v>
      </c>
      <c r="D3" s="4">
        <v>139</v>
      </c>
      <c r="E3" s="4" t="s">
        <v>13</v>
      </c>
      <c r="F3" s="5" t="s">
        <v>63</v>
      </c>
      <c r="G3" s="4" t="s">
        <v>1</v>
      </c>
      <c r="H3" s="9" t="s">
        <v>27</v>
      </c>
      <c r="I3" s="4" t="s">
        <v>22</v>
      </c>
      <c r="J3" s="4"/>
      <c r="K3" s="6" t="s">
        <v>14</v>
      </c>
      <c r="L3">
        <v>79.599999999999994</v>
      </c>
      <c r="M3">
        <v>2930.5</v>
      </c>
      <c r="N3">
        <v>19908.599999999999</v>
      </c>
      <c r="O3">
        <v>1.8</v>
      </c>
      <c r="P3">
        <v>39.308</v>
      </c>
      <c r="Q3">
        <v>559.06600000000003</v>
      </c>
      <c r="R3">
        <v>2</v>
      </c>
      <c r="S3">
        <v>38</v>
      </c>
      <c r="T3">
        <v>37</v>
      </c>
      <c r="U3">
        <v>295.48599999999999</v>
      </c>
      <c r="V3" s="4"/>
      <c r="W3" s="4" t="s">
        <v>22</v>
      </c>
      <c r="X3" s="4">
        <f>SUM(Table1[[#This Row],[ZONE1_DISTANCE]:[ZONE3_DISTANCE]])</f>
        <v>22918.699999999997</v>
      </c>
      <c r="Y3" s="4">
        <f>Table1[[#This Row],[ZONE1_DISTANCE]]/Table1[[#This Row],[TOTAL_DISTANCE]]</f>
        <v>3.4731463826482307E-3</v>
      </c>
    </row>
    <row r="4" spans="1:25" ht="21">
      <c r="A4" s="4">
        <v>3</v>
      </c>
      <c r="B4" s="5">
        <v>10.220000000000001</v>
      </c>
      <c r="C4" s="4">
        <v>1</v>
      </c>
      <c r="D4" s="4">
        <v>148</v>
      </c>
      <c r="E4" s="4" t="s">
        <v>12</v>
      </c>
      <c r="F4" s="5" t="s">
        <v>63</v>
      </c>
      <c r="G4" s="4" t="s">
        <v>1</v>
      </c>
      <c r="H4" s="10" t="s">
        <v>28</v>
      </c>
      <c r="I4" s="4" t="s">
        <v>22</v>
      </c>
      <c r="J4" s="4" t="s">
        <v>41</v>
      </c>
      <c r="K4" s="6" t="s">
        <v>14</v>
      </c>
      <c r="L4">
        <v>2919.4</v>
      </c>
      <c r="M4">
        <v>10020.200000000001</v>
      </c>
      <c r="N4">
        <v>21085.599999999999</v>
      </c>
      <c r="O4">
        <v>39.029000000000003</v>
      </c>
      <c r="P4">
        <v>135.917</v>
      </c>
      <c r="Q4">
        <v>425.22300000000001</v>
      </c>
      <c r="R4">
        <v>37</v>
      </c>
      <c r="S4">
        <v>144</v>
      </c>
      <c r="T4">
        <v>106</v>
      </c>
      <c r="U4">
        <v>136.233</v>
      </c>
      <c r="V4" s="4"/>
      <c r="W4" s="4" t="s">
        <v>22</v>
      </c>
      <c r="X4" s="4">
        <f>SUM(Table1[[#This Row],[ZONE1_DISTANCE]:[ZONE3_DISTANCE]])</f>
        <v>34025.199999999997</v>
      </c>
      <c r="Y4" s="4">
        <f>Table1[[#This Row],[ZONE1_DISTANCE]]/Table1[[#This Row],[TOTAL_DISTANCE]]</f>
        <v>8.5801112116901598E-2</v>
      </c>
    </row>
    <row r="5" spans="1:25" ht="21">
      <c r="A5" s="4">
        <v>4</v>
      </c>
      <c r="B5" s="5">
        <v>10.220000000000001</v>
      </c>
      <c r="C5" s="4">
        <v>1</v>
      </c>
      <c r="D5" s="4">
        <v>148</v>
      </c>
      <c r="E5" s="4" t="s">
        <v>13</v>
      </c>
      <c r="F5" s="5" t="s">
        <v>63</v>
      </c>
      <c r="G5" s="4" t="s">
        <v>1</v>
      </c>
      <c r="H5" s="9" t="s">
        <v>28</v>
      </c>
      <c r="I5" s="4" t="s">
        <v>22</v>
      </c>
      <c r="J5" s="4"/>
      <c r="K5" s="6" t="s">
        <v>14</v>
      </c>
      <c r="L5">
        <v>2508.5</v>
      </c>
      <c r="M5">
        <v>9604.2999999999993</v>
      </c>
      <c r="N5">
        <v>14233.3</v>
      </c>
      <c r="O5">
        <v>60.826000000000001</v>
      </c>
      <c r="P5">
        <v>164.41399999999999</v>
      </c>
      <c r="Q5">
        <v>374.93</v>
      </c>
      <c r="R5">
        <v>53</v>
      </c>
      <c r="S5">
        <v>144</v>
      </c>
      <c r="T5">
        <v>92</v>
      </c>
      <c r="U5">
        <v>146.23500000000001</v>
      </c>
      <c r="V5" s="4"/>
      <c r="W5" s="4" t="s">
        <v>22</v>
      </c>
      <c r="X5" s="4">
        <f>SUM(Table1[[#This Row],[ZONE1_DISTANCE]:[ZONE3_DISTANCE]])</f>
        <v>26346.1</v>
      </c>
      <c r="Y5" s="4">
        <f>Table1[[#This Row],[ZONE1_DISTANCE]]/Table1[[#This Row],[TOTAL_DISTANCE]]</f>
        <v>9.5213333282724966E-2</v>
      </c>
    </row>
    <row r="6" spans="1:25" ht="21">
      <c r="A6" s="4">
        <v>5</v>
      </c>
      <c r="B6" s="5">
        <v>10.49</v>
      </c>
      <c r="C6" s="4">
        <v>1</v>
      </c>
      <c r="D6" s="4">
        <v>139</v>
      </c>
      <c r="E6" s="4" t="s">
        <v>12</v>
      </c>
      <c r="F6" s="5" t="s">
        <v>63</v>
      </c>
      <c r="G6" s="4" t="s">
        <v>2</v>
      </c>
      <c r="H6" s="9" t="s">
        <v>28</v>
      </c>
      <c r="I6" s="4" t="s">
        <v>22</v>
      </c>
      <c r="J6" s="4" t="s">
        <v>42</v>
      </c>
      <c r="K6" s="6" t="s">
        <v>14</v>
      </c>
      <c r="L6">
        <v>7200.6</v>
      </c>
      <c r="M6">
        <v>8827.1</v>
      </c>
      <c r="N6">
        <v>6348.2</v>
      </c>
      <c r="O6">
        <v>179.256</v>
      </c>
      <c r="P6">
        <v>228.67400000000001</v>
      </c>
      <c r="Q6">
        <v>192.238</v>
      </c>
      <c r="R6">
        <v>44</v>
      </c>
      <c r="S6">
        <v>96</v>
      </c>
      <c r="T6">
        <v>52</v>
      </c>
      <c r="U6">
        <v>82.537000000000006</v>
      </c>
      <c r="V6" s="4"/>
      <c r="W6" s="4" t="s">
        <v>22</v>
      </c>
      <c r="X6" s="4">
        <f>SUM(Table1[[#This Row],[ZONE1_DISTANCE]:[ZONE3_DISTANCE]])</f>
        <v>22375.9</v>
      </c>
      <c r="Y6" s="4">
        <f>Table1[[#This Row],[ZONE1_DISTANCE]]/Table1[[#This Row],[TOTAL_DISTANCE]]</f>
        <v>0.32180158116545032</v>
      </c>
    </row>
    <row r="7" spans="1:25" ht="21">
      <c r="A7" s="4">
        <v>6</v>
      </c>
      <c r="B7" s="5">
        <v>10.49</v>
      </c>
      <c r="C7" s="4">
        <v>1</v>
      </c>
      <c r="D7" s="4">
        <v>139</v>
      </c>
      <c r="E7" s="4" t="s">
        <v>13</v>
      </c>
      <c r="F7" s="5" t="s">
        <v>63</v>
      </c>
      <c r="G7" s="4" t="s">
        <v>1</v>
      </c>
      <c r="H7" s="10" t="s">
        <v>27</v>
      </c>
      <c r="I7" s="4" t="s">
        <v>22</v>
      </c>
      <c r="J7" s="4" t="s">
        <v>15</v>
      </c>
      <c r="K7" s="6" t="s">
        <v>14</v>
      </c>
      <c r="L7">
        <v>9744.7000000000007</v>
      </c>
      <c r="M7">
        <v>11955.8</v>
      </c>
      <c r="N7">
        <v>10351.6</v>
      </c>
      <c r="O7">
        <v>154.15</v>
      </c>
      <c r="P7">
        <v>185.02799999999999</v>
      </c>
      <c r="Q7">
        <v>260.98899999999998</v>
      </c>
      <c r="R7">
        <v>87</v>
      </c>
      <c r="S7">
        <v>158</v>
      </c>
      <c r="T7">
        <v>72</v>
      </c>
      <c r="U7">
        <v>62.533000000000001</v>
      </c>
      <c r="V7" s="4"/>
      <c r="W7" s="4" t="s">
        <v>22</v>
      </c>
      <c r="X7" s="4">
        <f>SUM(Table1[[#This Row],[ZONE1_DISTANCE]:[ZONE3_DISTANCE]])</f>
        <v>32052.1</v>
      </c>
      <c r="Y7" s="4">
        <f>Table1[[#This Row],[ZONE1_DISTANCE]]/Table1[[#This Row],[TOTAL_DISTANCE]]</f>
        <v>0.30402688123399096</v>
      </c>
    </row>
    <row r="8" spans="1:25" ht="21">
      <c r="A8" s="4">
        <v>7</v>
      </c>
      <c r="B8" s="5">
        <v>10.48</v>
      </c>
      <c r="C8" s="4">
        <v>1</v>
      </c>
      <c r="D8" s="4">
        <v>148</v>
      </c>
      <c r="E8" s="4" t="s">
        <v>12</v>
      </c>
      <c r="F8" s="5" t="s">
        <v>63</v>
      </c>
      <c r="G8" s="4" t="s">
        <v>1</v>
      </c>
      <c r="H8" s="9" t="s">
        <v>28</v>
      </c>
      <c r="I8" s="4" t="s">
        <v>22</v>
      </c>
      <c r="J8" s="4" t="s">
        <v>15</v>
      </c>
      <c r="K8" s="6" t="s">
        <v>14</v>
      </c>
      <c r="L8">
        <v>673.8</v>
      </c>
      <c r="M8">
        <v>5303.9</v>
      </c>
      <c r="N8">
        <v>13742.4</v>
      </c>
      <c r="O8">
        <v>8.8650000000000002</v>
      </c>
      <c r="P8">
        <v>121.82299999999999</v>
      </c>
      <c r="Q8">
        <v>469.49299999999999</v>
      </c>
      <c r="R8">
        <v>12</v>
      </c>
      <c r="S8">
        <v>52</v>
      </c>
      <c r="T8">
        <v>41</v>
      </c>
      <c r="U8">
        <v>410.50700000000001</v>
      </c>
      <c r="V8" s="4"/>
      <c r="W8" s="4" t="s">
        <v>22</v>
      </c>
      <c r="X8" s="4">
        <f>SUM(Table1[[#This Row],[ZONE1_DISTANCE]:[ZONE3_DISTANCE]])</f>
        <v>19720.099999999999</v>
      </c>
      <c r="Y8" s="4">
        <f>Table1[[#This Row],[ZONE1_DISTANCE]]/Table1[[#This Row],[TOTAL_DISTANCE]]</f>
        <v>3.4168183731319822E-2</v>
      </c>
    </row>
    <row r="9" spans="1:25" ht="21">
      <c r="A9" s="4">
        <v>8</v>
      </c>
      <c r="B9" s="5">
        <v>10.48</v>
      </c>
      <c r="C9" s="4">
        <v>1</v>
      </c>
      <c r="D9" s="4">
        <v>148</v>
      </c>
      <c r="E9" s="4" t="s">
        <v>13</v>
      </c>
      <c r="F9" s="5" t="s">
        <v>63</v>
      </c>
      <c r="G9" s="4" t="s">
        <v>1</v>
      </c>
      <c r="H9" s="9" t="s">
        <v>27</v>
      </c>
      <c r="I9" s="4" t="s">
        <v>22</v>
      </c>
      <c r="J9" s="4" t="s">
        <v>15</v>
      </c>
      <c r="K9" s="6" t="s">
        <v>14</v>
      </c>
      <c r="L9">
        <v>10401.6</v>
      </c>
      <c r="M9">
        <v>7859.1</v>
      </c>
      <c r="N9">
        <v>14698.6</v>
      </c>
      <c r="O9">
        <v>157.745</v>
      </c>
      <c r="P9">
        <v>119.06399999999999</v>
      </c>
      <c r="Q9">
        <v>323.37299999999999</v>
      </c>
      <c r="R9">
        <v>64</v>
      </c>
      <c r="S9">
        <v>104</v>
      </c>
      <c r="T9">
        <v>41</v>
      </c>
      <c r="U9">
        <v>80.41</v>
      </c>
      <c r="V9" s="4"/>
      <c r="W9" s="4" t="s">
        <v>22</v>
      </c>
      <c r="X9" s="4">
        <f>SUM(Table1[[#This Row],[ZONE1_DISTANCE]:[ZONE3_DISTANCE]])</f>
        <v>32959.300000000003</v>
      </c>
      <c r="Y9" s="4">
        <f>Table1[[#This Row],[ZONE1_DISTANCE]]/Table1[[#This Row],[TOTAL_DISTANCE]]</f>
        <v>0.31558922671294592</v>
      </c>
    </row>
    <row r="10" spans="1:25" ht="21">
      <c r="A10" s="4">
        <v>9</v>
      </c>
      <c r="B10" s="5">
        <v>11.08</v>
      </c>
      <c r="C10" s="4">
        <v>1</v>
      </c>
      <c r="D10" s="4">
        <v>139</v>
      </c>
      <c r="E10" s="4" t="s">
        <v>12</v>
      </c>
      <c r="F10" s="5" t="s">
        <v>63</v>
      </c>
      <c r="G10" s="4" t="s">
        <v>1</v>
      </c>
      <c r="H10" s="9" t="s">
        <v>28</v>
      </c>
      <c r="I10" s="4" t="s">
        <v>22</v>
      </c>
      <c r="J10" s="4" t="s">
        <v>40</v>
      </c>
      <c r="K10" s="6" t="s">
        <v>14</v>
      </c>
      <c r="L10">
        <v>3169.9</v>
      </c>
      <c r="M10">
        <v>9253</v>
      </c>
      <c r="N10">
        <v>9293.7000000000007</v>
      </c>
      <c r="O10">
        <v>67.194999999999993</v>
      </c>
      <c r="P10">
        <v>236.18199999999999</v>
      </c>
      <c r="Q10">
        <v>296.79000000000002</v>
      </c>
      <c r="R10">
        <v>35</v>
      </c>
      <c r="S10">
        <v>81</v>
      </c>
      <c r="T10">
        <v>46</v>
      </c>
      <c r="U10">
        <v>190.48599999999999</v>
      </c>
      <c r="V10" s="4"/>
      <c r="W10" s="4" t="s">
        <v>22</v>
      </c>
      <c r="X10" s="4">
        <f>SUM(Table1[[#This Row],[ZONE1_DISTANCE]:[ZONE3_DISTANCE]])</f>
        <v>21716.6</v>
      </c>
      <c r="Y10" s="4">
        <f>Table1[[#This Row],[ZONE1_DISTANCE]]/Table1[[#This Row],[TOTAL_DISTANCE]]</f>
        <v>0.1459666798670142</v>
      </c>
    </row>
    <row r="11" spans="1:25" ht="21">
      <c r="A11" s="4">
        <v>10</v>
      </c>
      <c r="B11" s="5">
        <v>11.08</v>
      </c>
      <c r="C11" s="4">
        <v>1</v>
      </c>
      <c r="D11" s="4">
        <v>139</v>
      </c>
      <c r="E11" s="4" t="s">
        <v>13</v>
      </c>
      <c r="F11" s="5" t="s">
        <v>63</v>
      </c>
      <c r="G11" s="4" t="s">
        <v>1</v>
      </c>
      <c r="H11" s="10" t="s">
        <v>28</v>
      </c>
      <c r="I11" s="4" t="s">
        <v>22</v>
      </c>
      <c r="J11" s="4"/>
      <c r="K11" s="6" t="s">
        <v>14</v>
      </c>
      <c r="L11">
        <v>4734.5</v>
      </c>
      <c r="M11">
        <v>4990.7</v>
      </c>
      <c r="N11">
        <v>15243.7</v>
      </c>
      <c r="O11">
        <v>62.362000000000002</v>
      </c>
      <c r="P11">
        <v>80.06</v>
      </c>
      <c r="Q11">
        <v>457.74599999999998</v>
      </c>
      <c r="R11">
        <v>25</v>
      </c>
      <c r="S11">
        <v>51</v>
      </c>
      <c r="T11">
        <v>27</v>
      </c>
      <c r="U11">
        <v>190.48599999999999</v>
      </c>
      <c r="V11" s="4"/>
      <c r="W11" s="4" t="s">
        <v>22</v>
      </c>
      <c r="X11" s="4">
        <f>SUM(Table1[[#This Row],[ZONE1_DISTANCE]:[ZONE3_DISTANCE]])</f>
        <v>24968.9</v>
      </c>
      <c r="Y11" s="4">
        <f>Table1[[#This Row],[ZONE1_DISTANCE]]/Table1[[#This Row],[TOTAL_DISTANCE]]</f>
        <v>0.1896158821574038</v>
      </c>
    </row>
    <row r="12" spans="1:25" ht="21">
      <c r="A12" s="4">
        <v>11</v>
      </c>
      <c r="B12" s="5">
        <v>11.1</v>
      </c>
      <c r="C12" s="4">
        <v>1</v>
      </c>
      <c r="D12" s="4">
        <v>148</v>
      </c>
      <c r="E12" s="4" t="s">
        <v>12</v>
      </c>
      <c r="F12" s="5" t="s">
        <v>63</v>
      </c>
      <c r="G12" s="4" t="s">
        <v>1</v>
      </c>
      <c r="H12" s="9" t="s">
        <v>27</v>
      </c>
      <c r="I12" s="4" t="s">
        <v>22</v>
      </c>
      <c r="J12" s="4" t="s">
        <v>43</v>
      </c>
      <c r="K12" s="6" t="s">
        <v>14</v>
      </c>
      <c r="L12">
        <v>9211.2000000000007</v>
      </c>
      <c r="M12">
        <v>4643.3999999999996</v>
      </c>
      <c r="N12">
        <v>6965.7</v>
      </c>
      <c r="O12">
        <v>277.94400000000002</v>
      </c>
      <c r="P12">
        <v>105.212</v>
      </c>
      <c r="Q12">
        <v>217.01300000000001</v>
      </c>
      <c r="R12">
        <v>37</v>
      </c>
      <c r="S12">
        <v>59</v>
      </c>
      <c r="T12">
        <v>21</v>
      </c>
      <c r="U12">
        <v>201.429</v>
      </c>
      <c r="V12" s="4"/>
      <c r="W12" s="4" t="s">
        <v>22</v>
      </c>
      <c r="X12" s="4">
        <f>SUM(Table1[[#This Row],[ZONE1_DISTANCE]:[ZONE3_DISTANCE]])</f>
        <v>20820.3</v>
      </c>
      <c r="Y12" s="4">
        <f>Table1[[#This Row],[ZONE1_DISTANCE]]/Table1[[#This Row],[TOTAL_DISTANCE]]</f>
        <v>0.44241437443264509</v>
      </c>
    </row>
    <row r="13" spans="1:25" ht="21">
      <c r="A13" s="4">
        <v>12</v>
      </c>
      <c r="B13" s="5">
        <v>11.1</v>
      </c>
      <c r="C13" s="4">
        <v>1</v>
      </c>
      <c r="D13" s="4">
        <v>148</v>
      </c>
      <c r="E13" s="4" t="s">
        <v>13</v>
      </c>
      <c r="F13" s="5" t="s">
        <v>63</v>
      </c>
      <c r="G13" s="4" t="s">
        <v>2</v>
      </c>
      <c r="H13" s="9" t="s">
        <v>27</v>
      </c>
      <c r="I13" s="4" t="s">
        <v>22</v>
      </c>
      <c r="J13" s="4"/>
      <c r="K13" s="6" t="s">
        <v>14</v>
      </c>
      <c r="L13">
        <v>1949.2</v>
      </c>
      <c r="M13">
        <v>6347.5</v>
      </c>
      <c r="N13">
        <v>13494.4</v>
      </c>
      <c r="O13">
        <v>53.338999999999999</v>
      </c>
      <c r="P13">
        <v>155.97999999999999</v>
      </c>
      <c r="Q13">
        <v>390.851</v>
      </c>
      <c r="R13">
        <v>23</v>
      </c>
      <c r="S13">
        <v>78</v>
      </c>
      <c r="T13">
        <v>56</v>
      </c>
      <c r="U13">
        <v>71.394999999999996</v>
      </c>
      <c r="V13" s="4"/>
      <c r="W13" s="4" t="s">
        <v>22</v>
      </c>
      <c r="X13" s="4">
        <f>SUM(Table1[[#This Row],[ZONE1_DISTANCE]:[ZONE3_DISTANCE]])</f>
        <v>21791.1</v>
      </c>
      <c r="Y13" s="4">
        <f>Table1[[#This Row],[ZONE1_DISTANCE]]/Table1[[#This Row],[TOTAL_DISTANCE]]</f>
        <v>8.9449362354355688E-2</v>
      </c>
    </row>
    <row r="14" spans="1:25" ht="21">
      <c r="A14" s="4">
        <v>13</v>
      </c>
      <c r="B14" s="5">
        <v>11.27</v>
      </c>
      <c r="C14" s="4">
        <v>1</v>
      </c>
      <c r="D14" s="4">
        <v>139</v>
      </c>
      <c r="E14" s="4" t="s">
        <v>12</v>
      </c>
      <c r="F14" s="5" t="s">
        <v>63</v>
      </c>
      <c r="G14" s="4" t="s">
        <v>2</v>
      </c>
      <c r="H14" s="9" t="s">
        <v>28</v>
      </c>
      <c r="I14" s="4" t="s">
        <v>1</v>
      </c>
      <c r="J14" s="4" t="s">
        <v>44</v>
      </c>
      <c r="K14" s="6" t="s">
        <v>14</v>
      </c>
      <c r="L14">
        <v>9101</v>
      </c>
      <c r="M14">
        <v>7562</v>
      </c>
      <c r="N14">
        <v>6122.6</v>
      </c>
      <c r="O14">
        <v>228.00299999999999</v>
      </c>
      <c r="P14">
        <v>170.541</v>
      </c>
      <c r="Q14">
        <v>201.62799999999999</v>
      </c>
      <c r="R14">
        <v>69</v>
      </c>
      <c r="S14">
        <v>102</v>
      </c>
      <c r="T14">
        <v>33</v>
      </c>
      <c r="U14">
        <v>89.356999999999999</v>
      </c>
      <c r="V14" s="4" t="s">
        <v>45</v>
      </c>
      <c r="W14" s="4" t="s">
        <v>23</v>
      </c>
      <c r="X14" s="4">
        <f>SUM(Table1[[#This Row],[ZONE1_DISTANCE]:[ZONE3_DISTANCE]])</f>
        <v>22785.599999999999</v>
      </c>
      <c r="Y14" s="4">
        <f>Table1[[#This Row],[ZONE1_DISTANCE]]/Table1[[#This Row],[TOTAL_DISTANCE]]</f>
        <v>0.39941893125482764</v>
      </c>
    </row>
    <row r="15" spans="1:25" ht="21">
      <c r="A15" s="4">
        <v>14</v>
      </c>
      <c r="B15" s="5">
        <v>11.27</v>
      </c>
      <c r="C15" s="4">
        <v>1</v>
      </c>
      <c r="D15" s="4">
        <v>139</v>
      </c>
      <c r="E15" s="4" t="s">
        <v>13</v>
      </c>
      <c r="F15" s="5" t="s">
        <v>63</v>
      </c>
      <c r="G15" s="4" t="s">
        <v>2</v>
      </c>
      <c r="H15" s="9" t="s">
        <v>28</v>
      </c>
      <c r="I15" s="4" t="s">
        <v>22</v>
      </c>
      <c r="J15" s="4"/>
      <c r="K15" s="6" t="s">
        <v>14</v>
      </c>
      <c r="L15">
        <v>4844.8</v>
      </c>
      <c r="M15">
        <v>8698.4</v>
      </c>
      <c r="N15">
        <v>8837.6</v>
      </c>
      <c r="O15">
        <v>97.194000000000003</v>
      </c>
      <c r="P15">
        <v>196.37</v>
      </c>
      <c r="Q15">
        <v>306.60700000000003</v>
      </c>
      <c r="R15">
        <v>46</v>
      </c>
      <c r="S15">
        <v>85</v>
      </c>
      <c r="T15">
        <v>40</v>
      </c>
      <c r="U15">
        <v>109.361</v>
      </c>
      <c r="V15" s="4"/>
      <c r="W15" s="4" t="s">
        <v>22</v>
      </c>
      <c r="X15" s="4">
        <f>SUM(Table1[[#This Row],[ZONE1_DISTANCE]:[ZONE3_DISTANCE]])</f>
        <v>22380.800000000003</v>
      </c>
      <c r="Y15" s="4">
        <f>Table1[[#This Row],[ZONE1_DISTANCE]]/Table1[[#This Row],[TOTAL_DISTANCE]]</f>
        <v>0.21647126108092649</v>
      </c>
    </row>
    <row r="16" spans="1:25" ht="21">
      <c r="A16" s="4">
        <v>15</v>
      </c>
      <c r="B16" s="5">
        <v>11.33</v>
      </c>
      <c r="C16" s="4">
        <v>1</v>
      </c>
      <c r="D16" s="4">
        <v>148</v>
      </c>
      <c r="E16" s="4" t="s">
        <v>12</v>
      </c>
      <c r="F16" s="5" t="s">
        <v>63</v>
      </c>
      <c r="G16" s="4" t="s">
        <v>2</v>
      </c>
      <c r="H16" s="9" t="s">
        <v>26</v>
      </c>
      <c r="I16" s="4" t="s">
        <v>22</v>
      </c>
      <c r="J16" s="4" t="s">
        <v>40</v>
      </c>
      <c r="K16" s="6" t="s">
        <v>14</v>
      </c>
      <c r="L16">
        <v>4987.6000000000004</v>
      </c>
      <c r="M16">
        <v>12827.8</v>
      </c>
      <c r="N16">
        <v>12260.7</v>
      </c>
      <c r="O16">
        <v>73.786000000000001</v>
      </c>
      <c r="P16">
        <v>165.703</v>
      </c>
      <c r="Q16">
        <v>360.68700000000001</v>
      </c>
      <c r="R16">
        <v>74</v>
      </c>
      <c r="S16">
        <v>118</v>
      </c>
      <c r="T16">
        <v>45</v>
      </c>
      <c r="U16">
        <v>135.43299999999999</v>
      </c>
      <c r="V16" s="4"/>
      <c r="W16" s="4" t="s">
        <v>22</v>
      </c>
      <c r="X16" s="4">
        <f>SUM(Table1[[#This Row],[ZONE1_DISTANCE]:[ZONE3_DISTANCE]])</f>
        <v>30076.100000000002</v>
      </c>
      <c r="Y16" s="4">
        <f>Table1[[#This Row],[ZONE1_DISTANCE]]/Table1[[#This Row],[TOTAL_DISTANCE]]</f>
        <v>0.16583267112424815</v>
      </c>
    </row>
    <row r="17" spans="1:25" ht="21">
      <c r="A17" s="4">
        <v>16</v>
      </c>
      <c r="B17" s="5">
        <v>11.33</v>
      </c>
      <c r="C17" s="4">
        <v>1</v>
      </c>
      <c r="D17" s="4">
        <v>148</v>
      </c>
      <c r="E17" s="4" t="s">
        <v>13</v>
      </c>
      <c r="F17" s="5" t="s">
        <v>63</v>
      </c>
      <c r="G17" s="4" t="s">
        <v>2</v>
      </c>
      <c r="H17" s="9" t="s">
        <v>26</v>
      </c>
      <c r="I17" s="4" t="s">
        <v>22</v>
      </c>
      <c r="J17" s="4" t="s">
        <v>15</v>
      </c>
      <c r="K17" s="6" t="s">
        <v>14</v>
      </c>
      <c r="L17">
        <v>1066.9000000000001</v>
      </c>
      <c r="M17">
        <v>6026.7</v>
      </c>
      <c r="N17">
        <v>5555.8</v>
      </c>
      <c r="O17">
        <v>44.597000000000001</v>
      </c>
      <c r="P17">
        <v>286.69400000000002</v>
      </c>
      <c r="Q17">
        <v>268.88499999999999</v>
      </c>
      <c r="R17">
        <v>21</v>
      </c>
      <c r="S17">
        <v>45</v>
      </c>
      <c r="T17">
        <v>24</v>
      </c>
      <c r="U17">
        <v>265.46699999999998</v>
      </c>
      <c r="V17" s="4"/>
      <c r="W17" s="4" t="s">
        <v>22</v>
      </c>
      <c r="X17" s="4">
        <f>SUM(Table1[[#This Row],[ZONE1_DISTANCE]:[ZONE3_DISTANCE]])</f>
        <v>12649.400000000001</v>
      </c>
      <c r="Y17" s="4">
        <f>Table1[[#This Row],[ZONE1_DISTANCE]]/Table1[[#This Row],[TOTAL_DISTANCE]]</f>
        <v>8.43439214508198E-2</v>
      </c>
    </row>
    <row r="18" spans="1:25" ht="21">
      <c r="A18" s="4">
        <v>17</v>
      </c>
      <c r="B18" s="5">
        <v>11.48</v>
      </c>
      <c r="C18" s="4">
        <v>1</v>
      </c>
      <c r="D18" s="4">
        <v>139</v>
      </c>
      <c r="E18" s="4" t="s">
        <v>12</v>
      </c>
      <c r="F18" s="5" t="s">
        <v>63</v>
      </c>
      <c r="G18" s="4" t="s">
        <v>2</v>
      </c>
      <c r="H18" s="9" t="s">
        <v>28</v>
      </c>
      <c r="I18" s="4" t="s">
        <v>22</v>
      </c>
      <c r="J18" s="4" t="s">
        <v>46</v>
      </c>
      <c r="K18" s="6" t="s">
        <v>14</v>
      </c>
      <c r="L18">
        <v>2168.1999999999998</v>
      </c>
      <c r="M18">
        <v>3151.5</v>
      </c>
      <c r="N18">
        <v>7676.1</v>
      </c>
      <c r="O18">
        <v>76.650999999999996</v>
      </c>
      <c r="P18">
        <v>117.595</v>
      </c>
      <c r="Q18">
        <v>405.92399999999998</v>
      </c>
      <c r="R18">
        <v>17</v>
      </c>
      <c r="S18">
        <v>47</v>
      </c>
      <c r="T18">
        <v>30</v>
      </c>
      <c r="U18">
        <v>197.49700000000001</v>
      </c>
      <c r="V18" s="4"/>
      <c r="W18" s="4" t="s">
        <v>22</v>
      </c>
      <c r="X18" s="4">
        <f>SUM(Table1[[#This Row],[ZONE1_DISTANCE]:[ZONE3_DISTANCE]])</f>
        <v>12995.8</v>
      </c>
      <c r="Y18" s="4">
        <f>Table1[[#This Row],[ZONE1_DISTANCE]]/Table1[[#This Row],[TOTAL_DISTANCE]]</f>
        <v>0.16683851705935762</v>
      </c>
    </row>
    <row r="19" spans="1:25" ht="21">
      <c r="A19" s="4">
        <v>18</v>
      </c>
      <c r="B19" s="5">
        <v>11.48</v>
      </c>
      <c r="C19" s="4">
        <v>1</v>
      </c>
      <c r="D19" s="4">
        <v>139</v>
      </c>
      <c r="E19" s="4" t="s">
        <v>13</v>
      </c>
      <c r="F19" s="5" t="s">
        <v>63</v>
      </c>
      <c r="G19" s="4" t="s">
        <v>1</v>
      </c>
      <c r="H19" s="9" t="s">
        <v>27</v>
      </c>
      <c r="I19" s="4" t="s">
        <v>1</v>
      </c>
      <c r="J19" s="4"/>
      <c r="K19" s="6" t="s">
        <v>14</v>
      </c>
      <c r="L19">
        <v>6960.1</v>
      </c>
      <c r="M19">
        <v>6715.6</v>
      </c>
      <c r="N19">
        <v>11951.3</v>
      </c>
      <c r="O19">
        <v>132.55600000000001</v>
      </c>
      <c r="P19">
        <v>124.35599999999999</v>
      </c>
      <c r="Q19">
        <v>343.25700000000001</v>
      </c>
      <c r="R19">
        <v>45</v>
      </c>
      <c r="S19">
        <v>84</v>
      </c>
      <c r="T19">
        <v>40</v>
      </c>
      <c r="U19">
        <v>172.49100000000001</v>
      </c>
      <c r="V19" s="4" t="s">
        <v>45</v>
      </c>
      <c r="W19" s="4" t="s">
        <v>23</v>
      </c>
      <c r="X19" s="4">
        <f>SUM(Table1[[#This Row],[ZONE1_DISTANCE]:[ZONE3_DISTANCE]])</f>
        <v>25627</v>
      </c>
      <c r="Y19" s="4">
        <f>Table1[[#This Row],[ZONE1_DISTANCE]]/Table1[[#This Row],[TOTAL_DISTANCE]]</f>
        <v>0.27159246107620871</v>
      </c>
    </row>
    <row r="20" spans="1:25" ht="21">
      <c r="A20" s="4">
        <v>19</v>
      </c>
      <c r="B20" s="5">
        <v>11.53</v>
      </c>
      <c r="C20" s="4">
        <v>1</v>
      </c>
      <c r="D20" s="4">
        <v>148</v>
      </c>
      <c r="E20" s="4" t="s">
        <v>12</v>
      </c>
      <c r="F20" s="5" t="s">
        <v>63</v>
      </c>
      <c r="G20" s="4" t="s">
        <v>1</v>
      </c>
      <c r="H20" s="9" t="s">
        <v>28</v>
      </c>
      <c r="I20" s="4" t="s">
        <v>22</v>
      </c>
      <c r="J20" s="4" t="s">
        <v>47</v>
      </c>
      <c r="K20" s="6" t="s">
        <v>14</v>
      </c>
      <c r="L20">
        <v>2590.1999999999998</v>
      </c>
      <c r="M20">
        <v>3591.5</v>
      </c>
      <c r="N20">
        <v>13689</v>
      </c>
      <c r="O20">
        <v>42.862000000000002</v>
      </c>
      <c r="P20">
        <v>62.539000000000001</v>
      </c>
      <c r="Q20">
        <v>494.75900000000001</v>
      </c>
      <c r="R20">
        <v>22</v>
      </c>
      <c r="S20">
        <v>43</v>
      </c>
      <c r="T20">
        <v>20</v>
      </c>
      <c r="U20">
        <v>34.244</v>
      </c>
      <c r="V20" s="4"/>
      <c r="W20" s="4" t="s">
        <v>22</v>
      </c>
      <c r="X20" s="4">
        <f>SUM(Table1[[#This Row],[ZONE1_DISTANCE]:[ZONE3_DISTANCE]])</f>
        <v>19870.7</v>
      </c>
      <c r="Y20" s="4">
        <f>Table1[[#This Row],[ZONE1_DISTANCE]]/Table1[[#This Row],[TOTAL_DISTANCE]]</f>
        <v>0.13035273040204923</v>
      </c>
    </row>
    <row r="21" spans="1:25" ht="21">
      <c r="A21" s="4">
        <v>20</v>
      </c>
      <c r="B21" s="5">
        <v>11.53</v>
      </c>
      <c r="C21" s="4">
        <v>1</v>
      </c>
      <c r="D21" s="4">
        <v>148</v>
      </c>
      <c r="E21" s="4" t="s">
        <v>13</v>
      </c>
      <c r="F21" s="5" t="s">
        <v>63</v>
      </c>
      <c r="G21" s="4" t="s">
        <v>2</v>
      </c>
      <c r="H21" s="9" t="s">
        <v>28</v>
      </c>
      <c r="I21" s="4" t="s">
        <v>22</v>
      </c>
      <c r="J21" s="4"/>
      <c r="K21" s="6" t="s">
        <v>14</v>
      </c>
      <c r="L21">
        <v>6887.9</v>
      </c>
      <c r="M21">
        <v>7471.1</v>
      </c>
      <c r="N21">
        <v>9638.7999999999993</v>
      </c>
      <c r="O21">
        <v>139.19300000000001</v>
      </c>
      <c r="P21">
        <v>150.52600000000001</v>
      </c>
      <c r="Q21">
        <v>310.44099999999997</v>
      </c>
      <c r="R21">
        <v>48</v>
      </c>
      <c r="S21">
        <v>79</v>
      </c>
      <c r="T21">
        <v>31</v>
      </c>
      <c r="U21">
        <v>199.286</v>
      </c>
      <c r="V21" s="4"/>
      <c r="W21" s="4" t="s">
        <v>22</v>
      </c>
      <c r="X21" s="4">
        <f>SUM(Table1[[#This Row],[ZONE1_DISTANCE]:[ZONE3_DISTANCE]])</f>
        <v>23997.8</v>
      </c>
      <c r="Y21" s="4">
        <f>Table1[[#This Row],[ZONE1_DISTANCE]]/Table1[[#This Row],[TOTAL_DISTANCE]]</f>
        <v>0.28702214369650553</v>
      </c>
    </row>
    <row r="22" spans="1:25" ht="21">
      <c r="A22" s="4">
        <v>21</v>
      </c>
      <c r="B22" s="5">
        <v>12.33</v>
      </c>
      <c r="C22" s="4">
        <v>1</v>
      </c>
      <c r="D22" s="4">
        <v>139</v>
      </c>
      <c r="E22" s="4" t="s">
        <v>12</v>
      </c>
      <c r="F22" s="5" t="s">
        <v>64</v>
      </c>
      <c r="G22" s="4" t="s">
        <v>1</v>
      </c>
      <c r="H22" s="9" t="s">
        <v>27</v>
      </c>
      <c r="I22" s="4" t="s">
        <v>22</v>
      </c>
      <c r="J22" s="4" t="s">
        <v>48</v>
      </c>
      <c r="K22" s="6" t="s">
        <v>14</v>
      </c>
      <c r="L22">
        <v>4788</v>
      </c>
      <c r="M22">
        <v>8631.6</v>
      </c>
      <c r="N22">
        <v>17719.3</v>
      </c>
      <c r="O22">
        <v>65.626999999999995</v>
      </c>
      <c r="P22">
        <v>126.608</v>
      </c>
      <c r="Q22">
        <v>407.93700000000001</v>
      </c>
      <c r="R22">
        <v>52</v>
      </c>
      <c r="S22">
        <v>101</v>
      </c>
      <c r="T22">
        <v>49</v>
      </c>
      <c r="U22">
        <v>63.683</v>
      </c>
      <c r="V22" s="4"/>
      <c r="W22" s="4" t="s">
        <v>22</v>
      </c>
      <c r="X22" s="4">
        <f>SUM(Table1[[#This Row],[ZONE1_DISTANCE]:[ZONE3_DISTANCE]])</f>
        <v>31138.9</v>
      </c>
      <c r="Y22" s="4">
        <f>Table1[[#This Row],[ZONE1_DISTANCE]]/Table1[[#This Row],[TOTAL_DISTANCE]]</f>
        <v>0.15376265699815986</v>
      </c>
    </row>
    <row r="23" spans="1:25" ht="21">
      <c r="A23" s="4">
        <v>22</v>
      </c>
      <c r="B23" s="5">
        <v>12.33</v>
      </c>
      <c r="C23" s="4">
        <v>1</v>
      </c>
      <c r="D23" s="4">
        <v>139</v>
      </c>
      <c r="E23" s="4" t="s">
        <v>13</v>
      </c>
      <c r="F23" s="5" t="s">
        <v>64</v>
      </c>
      <c r="G23" s="4" t="s">
        <v>2</v>
      </c>
      <c r="H23" s="10" t="s">
        <v>26</v>
      </c>
      <c r="I23" s="4" t="s">
        <v>22</v>
      </c>
      <c r="J23" s="4" t="s">
        <v>17</v>
      </c>
      <c r="K23" s="6" t="s">
        <v>14</v>
      </c>
      <c r="L23">
        <v>243.9</v>
      </c>
      <c r="M23">
        <v>1175.4000000000001</v>
      </c>
      <c r="N23">
        <v>5832.6</v>
      </c>
      <c r="O23">
        <v>5.5659999999999998</v>
      </c>
      <c r="P23">
        <v>52.253</v>
      </c>
      <c r="Q23">
        <v>542.35299999999995</v>
      </c>
      <c r="R23">
        <v>1</v>
      </c>
      <c r="S23">
        <v>23</v>
      </c>
      <c r="T23">
        <v>22</v>
      </c>
      <c r="U23">
        <v>593.83900000000006</v>
      </c>
      <c r="V23" s="4"/>
      <c r="W23" s="4" t="s">
        <v>22</v>
      </c>
      <c r="X23" s="4">
        <f>SUM(Table1[[#This Row],[ZONE1_DISTANCE]:[ZONE3_DISTANCE]])</f>
        <v>7251.9000000000005</v>
      </c>
      <c r="Y23" s="4">
        <f>Table1[[#This Row],[ZONE1_DISTANCE]]/Table1[[#This Row],[TOTAL_DISTANCE]]</f>
        <v>3.3632565258759774E-2</v>
      </c>
    </row>
    <row r="24" spans="1:25" ht="21">
      <c r="A24" s="4">
        <v>23</v>
      </c>
      <c r="B24" s="5">
        <v>12.38</v>
      </c>
      <c r="C24" s="4">
        <v>1</v>
      </c>
      <c r="D24" s="4">
        <v>148</v>
      </c>
      <c r="E24" s="4" t="s">
        <v>12</v>
      </c>
      <c r="F24" s="5" t="s">
        <v>64</v>
      </c>
      <c r="G24" s="4" t="s">
        <v>1</v>
      </c>
      <c r="H24" s="10" t="s">
        <v>27</v>
      </c>
      <c r="I24" s="4" t="s">
        <v>22</v>
      </c>
      <c r="J24" s="4" t="s">
        <v>40</v>
      </c>
      <c r="K24" s="6" t="s">
        <v>14</v>
      </c>
      <c r="L24">
        <v>6543.2</v>
      </c>
      <c r="M24">
        <v>15430.8</v>
      </c>
      <c r="N24">
        <v>11734.8</v>
      </c>
      <c r="O24">
        <v>94.182000000000002</v>
      </c>
      <c r="P24">
        <v>243.28</v>
      </c>
      <c r="Q24">
        <v>262.71199999999999</v>
      </c>
      <c r="R24">
        <v>96</v>
      </c>
      <c r="S24">
        <v>163</v>
      </c>
      <c r="T24">
        <v>67</v>
      </c>
      <c r="U24">
        <v>32.090000000000003</v>
      </c>
      <c r="V24" s="4"/>
      <c r="W24" s="4" t="s">
        <v>22</v>
      </c>
      <c r="X24" s="4">
        <f>SUM(Table1[[#This Row],[ZONE1_DISTANCE]:[ZONE3_DISTANCE]])</f>
        <v>33708.800000000003</v>
      </c>
      <c r="Y24" s="4">
        <f>Table1[[#This Row],[ZONE1_DISTANCE]]/Table1[[#This Row],[TOTAL_DISTANCE]]</f>
        <v>0.19410955002847918</v>
      </c>
    </row>
    <row r="25" spans="1:25" ht="21">
      <c r="A25" s="4">
        <v>24</v>
      </c>
      <c r="B25" s="5">
        <v>12.38</v>
      </c>
      <c r="C25" s="4">
        <v>1</v>
      </c>
      <c r="D25" s="4">
        <v>148</v>
      </c>
      <c r="E25" s="4" t="s">
        <v>13</v>
      </c>
      <c r="F25" s="5" t="s">
        <v>64</v>
      </c>
      <c r="G25" s="4" t="s">
        <v>2</v>
      </c>
      <c r="H25" s="9" t="s">
        <v>27</v>
      </c>
      <c r="I25" s="4" t="s">
        <v>22</v>
      </c>
      <c r="J25" s="4"/>
      <c r="K25" s="6" t="s">
        <v>14</v>
      </c>
      <c r="L25">
        <v>2764.8</v>
      </c>
      <c r="M25">
        <v>6792.2</v>
      </c>
      <c r="N25">
        <v>13065.7</v>
      </c>
      <c r="O25">
        <v>64.263000000000005</v>
      </c>
      <c r="P25">
        <v>153.21299999999999</v>
      </c>
      <c r="Q25">
        <v>382.69799999999998</v>
      </c>
      <c r="R25">
        <v>32</v>
      </c>
      <c r="S25">
        <v>75</v>
      </c>
      <c r="T25">
        <v>44</v>
      </c>
      <c r="U25">
        <v>142.12200000000001</v>
      </c>
      <c r="V25" s="4"/>
      <c r="W25" s="4" t="s">
        <v>22</v>
      </c>
      <c r="X25" s="4">
        <f>SUM(Table1[[#This Row],[ZONE1_DISTANCE]:[ZONE3_DISTANCE]])</f>
        <v>22622.7</v>
      </c>
      <c r="Y25" s="4">
        <f>Table1[[#This Row],[ZONE1_DISTANCE]]/Table1[[#This Row],[TOTAL_DISTANCE]]</f>
        <v>0.12221352888912465</v>
      </c>
    </row>
    <row r="26" spans="1:25" ht="21">
      <c r="A26" s="4">
        <v>25</v>
      </c>
      <c r="B26" s="5">
        <v>12.56</v>
      </c>
      <c r="C26" s="4">
        <v>1</v>
      </c>
      <c r="D26" s="4">
        <v>139</v>
      </c>
      <c r="E26" s="4" t="s">
        <v>12</v>
      </c>
      <c r="F26" s="5" t="s">
        <v>64</v>
      </c>
      <c r="G26" s="4" t="s">
        <v>1</v>
      </c>
      <c r="H26" s="9" t="s">
        <v>26</v>
      </c>
      <c r="I26" s="4" t="s">
        <v>22</v>
      </c>
      <c r="J26" s="4"/>
      <c r="K26" s="6" t="s">
        <v>14</v>
      </c>
      <c r="L26">
        <v>9939.6</v>
      </c>
      <c r="M26">
        <v>13346.7</v>
      </c>
      <c r="N26">
        <v>5858.7</v>
      </c>
      <c r="O26">
        <v>171.06899999999999</v>
      </c>
      <c r="P26">
        <v>263.154</v>
      </c>
      <c r="Q26">
        <v>165.946</v>
      </c>
      <c r="R26">
        <v>115</v>
      </c>
      <c r="S26">
        <v>172</v>
      </c>
      <c r="T26">
        <v>56</v>
      </c>
      <c r="U26">
        <v>33.954999999999998</v>
      </c>
      <c r="V26" s="4" t="s">
        <v>45</v>
      </c>
      <c r="W26" s="4" t="s">
        <v>23</v>
      </c>
      <c r="X26" s="4">
        <f>SUM(Table1[[#This Row],[ZONE1_DISTANCE]:[ZONE3_DISTANCE]])</f>
        <v>29145.000000000004</v>
      </c>
      <c r="Y26" s="4">
        <f>Table1[[#This Row],[ZONE1_DISTANCE]]/Table1[[#This Row],[TOTAL_DISTANCE]]</f>
        <v>0.34103962943901178</v>
      </c>
    </row>
    <row r="27" spans="1:25" ht="21">
      <c r="A27" s="4">
        <v>26</v>
      </c>
      <c r="B27" s="5">
        <v>12.56</v>
      </c>
      <c r="C27" s="4">
        <v>1</v>
      </c>
      <c r="D27" s="4">
        <v>139</v>
      </c>
      <c r="E27" s="4" t="s">
        <v>13</v>
      </c>
      <c r="F27" s="5" t="s">
        <v>64</v>
      </c>
      <c r="G27" s="4" t="s">
        <v>2</v>
      </c>
      <c r="H27" s="9" t="s">
        <v>26</v>
      </c>
      <c r="I27" s="4" t="s">
        <v>22</v>
      </c>
      <c r="J27" s="4"/>
      <c r="K27" s="6" t="s">
        <v>14</v>
      </c>
      <c r="L27">
        <v>11343.3</v>
      </c>
      <c r="M27">
        <v>4373.7</v>
      </c>
      <c r="N27">
        <v>4186.1000000000004</v>
      </c>
      <c r="O27">
        <v>348.923</v>
      </c>
      <c r="P27">
        <v>124.25700000000001</v>
      </c>
      <c r="Q27">
        <v>126.989</v>
      </c>
      <c r="R27">
        <v>25</v>
      </c>
      <c r="S27">
        <v>47</v>
      </c>
      <c r="T27">
        <v>23</v>
      </c>
      <c r="U27">
        <v>38.957000000000001</v>
      </c>
      <c r="V27" s="4"/>
      <c r="W27" s="4" t="s">
        <v>22</v>
      </c>
      <c r="X27" s="4">
        <f>SUM(Table1[[#This Row],[ZONE1_DISTANCE]:[ZONE3_DISTANCE]])</f>
        <v>19903.099999999999</v>
      </c>
      <c r="Y27" s="4">
        <f>Table1[[#This Row],[ZONE1_DISTANCE]]/Table1[[#This Row],[TOTAL_DISTANCE]]</f>
        <v>0.56992629288904739</v>
      </c>
    </row>
    <row r="28" spans="1:25" ht="21">
      <c r="A28" s="4">
        <v>27</v>
      </c>
      <c r="B28" s="5">
        <v>13.01</v>
      </c>
      <c r="C28" s="4">
        <v>1</v>
      </c>
      <c r="D28" s="4">
        <v>148</v>
      </c>
      <c r="E28" s="4" t="s">
        <v>12</v>
      </c>
      <c r="F28" s="5" t="s">
        <v>64</v>
      </c>
      <c r="G28" s="4" t="s">
        <v>2</v>
      </c>
      <c r="H28" s="10" t="s">
        <v>26</v>
      </c>
      <c r="I28" s="4" t="s">
        <v>1</v>
      </c>
      <c r="J28" s="4" t="s">
        <v>49</v>
      </c>
      <c r="K28" s="6" t="s">
        <v>14</v>
      </c>
      <c r="L28">
        <v>1829.1</v>
      </c>
      <c r="M28">
        <v>5917.1</v>
      </c>
      <c r="N28">
        <v>4604.5</v>
      </c>
      <c r="O28">
        <v>66.161000000000001</v>
      </c>
      <c r="P28">
        <v>264.41000000000003</v>
      </c>
      <c r="Q28">
        <v>269.59899999999999</v>
      </c>
      <c r="R28">
        <v>20</v>
      </c>
      <c r="S28">
        <v>55</v>
      </c>
      <c r="T28">
        <v>34</v>
      </c>
      <c r="U28">
        <v>183.50200000000001</v>
      </c>
      <c r="V28" s="4"/>
      <c r="W28" s="4" t="s">
        <v>22</v>
      </c>
      <c r="X28" s="4">
        <f>SUM(Table1[[#This Row],[ZONE1_DISTANCE]:[ZONE3_DISTANCE]])</f>
        <v>12350.7</v>
      </c>
      <c r="Y28" s="4">
        <f>Table1[[#This Row],[ZONE1_DISTANCE]]/Table1[[#This Row],[TOTAL_DISTANCE]]</f>
        <v>0.14809686900337632</v>
      </c>
    </row>
    <row r="29" spans="1:25" ht="21">
      <c r="A29" s="4">
        <v>28</v>
      </c>
      <c r="B29" s="5">
        <v>13.01</v>
      </c>
      <c r="C29" s="4">
        <v>1</v>
      </c>
      <c r="D29" s="4">
        <v>148</v>
      </c>
      <c r="E29" s="4" t="s">
        <v>13</v>
      </c>
      <c r="F29" s="5" t="s">
        <v>64</v>
      </c>
      <c r="G29" s="4" t="s">
        <v>1</v>
      </c>
      <c r="H29" s="9" t="s">
        <v>27</v>
      </c>
      <c r="I29" s="4" t="s">
        <v>1</v>
      </c>
      <c r="J29" s="4" t="s">
        <v>16</v>
      </c>
      <c r="K29" s="6" t="s">
        <v>14</v>
      </c>
      <c r="L29">
        <v>3345.8</v>
      </c>
      <c r="M29">
        <v>5739.2</v>
      </c>
      <c r="N29">
        <v>7171.4</v>
      </c>
      <c r="O29">
        <v>142.44</v>
      </c>
      <c r="P29">
        <v>193.62100000000001</v>
      </c>
      <c r="Q29">
        <v>264.108</v>
      </c>
      <c r="R29">
        <v>24</v>
      </c>
      <c r="S29">
        <v>63</v>
      </c>
      <c r="T29">
        <v>40</v>
      </c>
      <c r="U29">
        <v>173.5</v>
      </c>
      <c r="V29" s="4"/>
      <c r="W29" s="4" t="s">
        <v>22</v>
      </c>
      <c r="X29" s="4">
        <f>SUM(Table1[[#This Row],[ZONE1_DISTANCE]:[ZONE3_DISTANCE]])</f>
        <v>16256.4</v>
      </c>
      <c r="Y29" s="4">
        <f>Table1[[#This Row],[ZONE1_DISTANCE]]/Table1[[#This Row],[TOTAL_DISTANCE]]</f>
        <v>0.20581432543490566</v>
      </c>
    </row>
    <row r="30" spans="1:25" ht="21">
      <c r="A30" s="4">
        <v>29</v>
      </c>
      <c r="B30" s="5">
        <v>13.12</v>
      </c>
      <c r="C30" s="4">
        <v>1</v>
      </c>
      <c r="D30" s="4">
        <v>139</v>
      </c>
      <c r="E30" s="4" t="s">
        <v>12</v>
      </c>
      <c r="F30" s="5" t="s">
        <v>64</v>
      </c>
      <c r="G30" s="4" t="s">
        <v>2</v>
      </c>
      <c r="H30" s="10" t="s">
        <v>28</v>
      </c>
      <c r="I30" s="4" t="s">
        <v>22</v>
      </c>
      <c r="J30" s="4" t="s">
        <v>40</v>
      </c>
      <c r="K30" s="6" t="s">
        <v>14</v>
      </c>
      <c r="L30">
        <v>5485.7</v>
      </c>
      <c r="M30">
        <v>13630.1</v>
      </c>
      <c r="N30">
        <v>12426.3</v>
      </c>
      <c r="O30">
        <v>110.345</v>
      </c>
      <c r="P30">
        <v>227.631</v>
      </c>
      <c r="Q30">
        <v>262.18900000000002</v>
      </c>
      <c r="R30">
        <v>78</v>
      </c>
      <c r="S30">
        <v>162</v>
      </c>
      <c r="T30">
        <v>84</v>
      </c>
      <c r="U30">
        <v>30.416</v>
      </c>
      <c r="V30" s="4"/>
      <c r="W30" s="4" t="s">
        <v>22</v>
      </c>
      <c r="X30" s="4">
        <f>SUM(Table1[[#This Row],[ZONE1_DISTANCE]:[ZONE3_DISTANCE]])</f>
        <v>31542.1</v>
      </c>
      <c r="Y30" s="4">
        <f>Table1[[#This Row],[ZONE1_DISTANCE]]/Table1[[#This Row],[TOTAL_DISTANCE]]</f>
        <v>0.17391676521220845</v>
      </c>
    </row>
    <row r="31" spans="1:25" ht="21">
      <c r="A31" s="4">
        <v>30</v>
      </c>
      <c r="B31" s="5">
        <v>13.12</v>
      </c>
      <c r="C31" s="4">
        <v>1</v>
      </c>
      <c r="D31" s="4">
        <v>139</v>
      </c>
      <c r="E31" s="4" t="s">
        <v>13</v>
      </c>
      <c r="F31" s="5" t="s">
        <v>64</v>
      </c>
      <c r="G31" s="4" t="s">
        <v>2</v>
      </c>
      <c r="H31" s="9" t="s">
        <v>26</v>
      </c>
      <c r="I31" s="4" t="s">
        <v>22</v>
      </c>
      <c r="J31" s="4"/>
      <c r="K31" s="6" t="s">
        <v>14</v>
      </c>
      <c r="L31">
        <v>3887.1</v>
      </c>
      <c r="M31">
        <v>6485.1</v>
      </c>
      <c r="N31">
        <v>13107.2</v>
      </c>
      <c r="O31">
        <v>92.492000000000004</v>
      </c>
      <c r="P31">
        <v>123.203</v>
      </c>
      <c r="Q31">
        <v>384.47</v>
      </c>
      <c r="R31">
        <v>41</v>
      </c>
      <c r="S31">
        <v>89</v>
      </c>
      <c r="T31">
        <v>49</v>
      </c>
      <c r="U31">
        <v>120.44199999999999</v>
      </c>
      <c r="V31" s="4"/>
      <c r="W31" s="4" t="s">
        <v>22</v>
      </c>
      <c r="X31" s="4">
        <f>SUM(Table1[[#This Row],[ZONE1_DISTANCE]:[ZONE3_DISTANCE]])</f>
        <v>23479.4</v>
      </c>
      <c r="Y31" s="4">
        <f>Table1[[#This Row],[ZONE1_DISTANCE]]/Table1[[#This Row],[TOTAL_DISTANCE]]</f>
        <v>0.16555363424959751</v>
      </c>
    </row>
    <row r="32" spans="1:25" ht="21">
      <c r="A32" s="4">
        <v>31</v>
      </c>
      <c r="B32" s="5">
        <v>13.2</v>
      </c>
      <c r="C32" s="4">
        <v>1</v>
      </c>
      <c r="D32" s="4">
        <v>148</v>
      </c>
      <c r="E32" s="4" t="s">
        <v>12</v>
      </c>
      <c r="F32" s="5" t="s">
        <v>64</v>
      </c>
      <c r="G32" s="4" t="s">
        <v>1</v>
      </c>
      <c r="H32" s="9" t="s">
        <v>28</v>
      </c>
      <c r="I32" s="4" t="s">
        <v>22</v>
      </c>
      <c r="J32" s="4" t="s">
        <v>40</v>
      </c>
      <c r="K32" s="6" t="s">
        <v>14</v>
      </c>
      <c r="L32">
        <v>6190.1</v>
      </c>
      <c r="M32">
        <v>12670.5</v>
      </c>
      <c r="N32">
        <v>13826.9</v>
      </c>
      <c r="O32">
        <v>89.278999999999996</v>
      </c>
      <c r="P32">
        <v>186.13800000000001</v>
      </c>
      <c r="Q32">
        <v>324.75299999999999</v>
      </c>
      <c r="R32">
        <v>80</v>
      </c>
      <c r="S32">
        <v>171</v>
      </c>
      <c r="T32">
        <v>91</v>
      </c>
      <c r="U32">
        <v>25.382000000000001</v>
      </c>
      <c r="V32" s="4"/>
      <c r="W32" s="4" t="s">
        <v>22</v>
      </c>
      <c r="X32" s="4">
        <f>SUM(Table1[[#This Row],[ZONE1_DISTANCE]:[ZONE3_DISTANCE]])</f>
        <v>32687.5</v>
      </c>
      <c r="Y32" s="4">
        <f>Table1[[#This Row],[ZONE1_DISTANCE]]/Table1[[#This Row],[TOTAL_DISTANCE]]</f>
        <v>0.18937208413001913</v>
      </c>
    </row>
    <row r="33" spans="1:25" ht="21">
      <c r="A33" s="4">
        <v>32</v>
      </c>
      <c r="B33" s="5">
        <v>13.2</v>
      </c>
      <c r="C33" s="4">
        <v>1</v>
      </c>
      <c r="D33" s="4">
        <v>148</v>
      </c>
      <c r="E33" s="4" t="s">
        <v>13</v>
      </c>
      <c r="F33" s="5" t="s">
        <v>64</v>
      </c>
      <c r="G33" s="4" t="s">
        <v>2</v>
      </c>
      <c r="H33" s="10" t="s">
        <v>28</v>
      </c>
      <c r="I33" s="4" t="s">
        <v>22</v>
      </c>
      <c r="J33" s="4"/>
      <c r="K33" s="6" t="s">
        <v>14</v>
      </c>
      <c r="L33">
        <v>10071.9</v>
      </c>
      <c r="M33">
        <v>7585.6</v>
      </c>
      <c r="N33">
        <v>6531.5</v>
      </c>
      <c r="O33">
        <v>283.84899999999999</v>
      </c>
      <c r="P33">
        <v>159.017</v>
      </c>
      <c r="Q33">
        <v>157.304</v>
      </c>
      <c r="R33">
        <v>63</v>
      </c>
      <c r="S33">
        <v>110</v>
      </c>
      <c r="T33">
        <v>48</v>
      </c>
      <c r="U33">
        <v>40.384999999999998</v>
      </c>
      <c r="V33" s="4"/>
      <c r="W33" s="4" t="s">
        <v>22</v>
      </c>
      <c r="X33" s="4">
        <f>SUM(Table1[[#This Row],[ZONE1_DISTANCE]:[ZONE3_DISTANCE]])</f>
        <v>24189</v>
      </c>
      <c r="Y33" s="4">
        <f>Table1[[#This Row],[ZONE1_DISTANCE]]/Table1[[#This Row],[TOTAL_DISTANCE]]</f>
        <v>0.41638348009425769</v>
      </c>
    </row>
    <row r="34" spans="1:25" ht="21">
      <c r="A34" s="4">
        <v>33</v>
      </c>
      <c r="B34" s="5">
        <v>13.31</v>
      </c>
      <c r="C34" s="4">
        <v>1</v>
      </c>
      <c r="D34" s="4">
        <v>139</v>
      </c>
      <c r="E34" s="4" t="s">
        <v>12</v>
      </c>
      <c r="F34" s="5" t="s">
        <v>64</v>
      </c>
      <c r="G34" s="4" t="s">
        <v>1</v>
      </c>
      <c r="H34" s="9" t="s">
        <v>26</v>
      </c>
      <c r="I34" s="4" t="s">
        <v>22</v>
      </c>
      <c r="J34" s="4" t="s">
        <v>40</v>
      </c>
      <c r="K34" s="6" t="s">
        <v>14</v>
      </c>
      <c r="L34">
        <v>2446.1</v>
      </c>
      <c r="M34">
        <v>12595</v>
      </c>
      <c r="N34">
        <v>14078.3</v>
      </c>
      <c r="O34">
        <v>30.795999999999999</v>
      </c>
      <c r="P34">
        <v>183.81200000000001</v>
      </c>
      <c r="Q34">
        <v>385.56799999999998</v>
      </c>
      <c r="R34">
        <v>42</v>
      </c>
      <c r="S34">
        <v>100</v>
      </c>
      <c r="T34">
        <v>59</v>
      </c>
      <c r="U34">
        <v>250.48099999999999</v>
      </c>
      <c r="V34" s="4"/>
      <c r="W34" s="4" t="s">
        <v>22</v>
      </c>
      <c r="X34" s="4">
        <f>SUM(Table1[[#This Row],[ZONE1_DISTANCE]:[ZONE3_DISTANCE]])</f>
        <v>29119.4</v>
      </c>
      <c r="Y34" s="4">
        <f>Table1[[#This Row],[ZONE1_DISTANCE]]/Table1[[#This Row],[TOTAL_DISTANCE]]</f>
        <v>8.400241763223143E-2</v>
      </c>
    </row>
    <row r="35" spans="1:25" ht="21">
      <c r="A35" s="4">
        <v>34</v>
      </c>
      <c r="B35" s="5">
        <v>13.31</v>
      </c>
      <c r="C35" s="4">
        <v>1</v>
      </c>
      <c r="D35" s="4">
        <v>139</v>
      </c>
      <c r="E35" s="4" t="s">
        <v>13</v>
      </c>
      <c r="F35" s="5" t="s">
        <v>64</v>
      </c>
      <c r="G35" s="4" t="s">
        <v>2</v>
      </c>
      <c r="H35" s="10" t="s">
        <v>28</v>
      </c>
      <c r="I35" s="4" t="s">
        <v>22</v>
      </c>
      <c r="J35" s="4"/>
      <c r="K35" s="6" t="s">
        <v>14</v>
      </c>
      <c r="L35">
        <v>5642.1</v>
      </c>
      <c r="M35">
        <v>5905.5</v>
      </c>
      <c r="N35">
        <v>3263.4</v>
      </c>
      <c r="O35">
        <v>231.655</v>
      </c>
      <c r="P35">
        <v>233.398</v>
      </c>
      <c r="Q35">
        <v>135.124</v>
      </c>
      <c r="R35">
        <v>38</v>
      </c>
      <c r="S35">
        <v>69</v>
      </c>
      <c r="T35">
        <v>32</v>
      </c>
      <c r="U35">
        <v>35.420999999999999</v>
      </c>
      <c r="V35" s="4"/>
      <c r="W35" s="4" t="s">
        <v>22</v>
      </c>
      <c r="X35" s="4">
        <f>SUM(Table1[[#This Row],[ZONE1_DISTANCE]:[ZONE3_DISTANCE]])</f>
        <v>14811</v>
      </c>
      <c r="Y35" s="4">
        <f>Table1[[#This Row],[ZONE1_DISTANCE]]/Table1[[#This Row],[TOTAL_DISTANCE]]</f>
        <v>0.38093984200931741</v>
      </c>
    </row>
    <row r="36" spans="1:25" ht="21">
      <c r="A36" s="4">
        <v>35</v>
      </c>
      <c r="B36" s="5">
        <v>13.36</v>
      </c>
      <c r="C36" s="4">
        <v>1</v>
      </c>
      <c r="D36" s="4">
        <v>148</v>
      </c>
      <c r="E36" s="4" t="s">
        <v>12</v>
      </c>
      <c r="F36" s="5" t="s">
        <v>64</v>
      </c>
      <c r="G36" s="4" t="s">
        <v>2</v>
      </c>
      <c r="H36" s="9" t="s">
        <v>28</v>
      </c>
      <c r="I36" s="4" t="s">
        <v>22</v>
      </c>
      <c r="J36" s="4" t="s">
        <v>40</v>
      </c>
      <c r="K36" s="6" t="s">
        <v>14</v>
      </c>
      <c r="L36">
        <v>1201.4000000000001</v>
      </c>
      <c r="M36">
        <v>2604.6999999999998</v>
      </c>
      <c r="N36">
        <v>11014.8</v>
      </c>
      <c r="O36">
        <v>34.564</v>
      </c>
      <c r="P36">
        <v>88.688999999999993</v>
      </c>
      <c r="Q36">
        <v>476.92200000000003</v>
      </c>
      <c r="R36">
        <v>10</v>
      </c>
      <c r="S36">
        <v>35</v>
      </c>
      <c r="T36">
        <v>26</v>
      </c>
      <c r="U36">
        <v>145.43700000000001</v>
      </c>
      <c r="V36" s="4"/>
      <c r="W36" s="4" t="s">
        <v>22</v>
      </c>
      <c r="X36" s="4">
        <f>SUM(Table1[[#This Row],[ZONE1_DISTANCE]:[ZONE3_DISTANCE]])</f>
        <v>14820.9</v>
      </c>
      <c r="Y36" s="4">
        <f>Table1[[#This Row],[ZONE1_DISTANCE]]/Table1[[#This Row],[TOTAL_DISTANCE]]</f>
        <v>8.106120411041165E-2</v>
      </c>
    </row>
    <row r="37" spans="1:25" ht="21">
      <c r="A37" s="4">
        <v>36</v>
      </c>
      <c r="B37" s="5">
        <v>13.36</v>
      </c>
      <c r="C37" s="4">
        <v>1</v>
      </c>
      <c r="D37" s="4">
        <v>148</v>
      </c>
      <c r="E37" s="4" t="s">
        <v>13</v>
      </c>
      <c r="F37" s="5" t="s">
        <v>64</v>
      </c>
      <c r="G37" s="4" t="s">
        <v>2</v>
      </c>
      <c r="H37" s="10" t="s">
        <v>28</v>
      </c>
      <c r="I37" s="4" t="s">
        <v>22</v>
      </c>
      <c r="J37" s="4"/>
      <c r="K37" s="6" t="s">
        <v>14</v>
      </c>
      <c r="L37">
        <v>2664.7</v>
      </c>
      <c r="M37">
        <v>9807.7999999999993</v>
      </c>
      <c r="N37">
        <v>13429.4</v>
      </c>
      <c r="O37">
        <v>48.195</v>
      </c>
      <c r="P37">
        <v>166.23599999999999</v>
      </c>
      <c r="Q37">
        <v>385.74400000000003</v>
      </c>
      <c r="R37">
        <v>41</v>
      </c>
      <c r="S37">
        <v>105</v>
      </c>
      <c r="T37">
        <v>64</v>
      </c>
      <c r="U37">
        <v>210.45699999999999</v>
      </c>
      <c r="V37" s="4"/>
      <c r="W37" s="4" t="s">
        <v>22</v>
      </c>
      <c r="X37" s="4">
        <f>SUM(Table1[[#This Row],[ZONE1_DISTANCE]:[ZONE3_DISTANCE]])</f>
        <v>25901.9</v>
      </c>
      <c r="Y37" s="4">
        <f>Table1[[#This Row],[ZONE1_DISTANCE]]/Table1[[#This Row],[TOTAL_DISTANCE]]</f>
        <v>0.10287662295043992</v>
      </c>
    </row>
    <row r="38" spans="1:25" ht="21">
      <c r="A38" s="4">
        <v>37</v>
      </c>
      <c r="B38" s="5">
        <v>13.49</v>
      </c>
      <c r="C38" s="4">
        <v>1</v>
      </c>
      <c r="D38" s="4">
        <v>139</v>
      </c>
      <c r="E38" s="4" t="s">
        <v>12</v>
      </c>
      <c r="F38" s="5" t="s">
        <v>64</v>
      </c>
      <c r="G38" s="4" t="s">
        <v>1</v>
      </c>
      <c r="H38" s="9" t="s">
        <v>28</v>
      </c>
      <c r="I38" s="4" t="s">
        <v>22</v>
      </c>
      <c r="J38" s="4" t="s">
        <v>50</v>
      </c>
      <c r="K38" s="6" t="s">
        <v>14</v>
      </c>
      <c r="L38">
        <v>8660</v>
      </c>
      <c r="M38">
        <v>12835</v>
      </c>
      <c r="N38">
        <v>14489.8</v>
      </c>
      <c r="O38">
        <v>127.723</v>
      </c>
      <c r="P38">
        <v>171.02099999999999</v>
      </c>
      <c r="Q38">
        <v>301.43900000000002</v>
      </c>
      <c r="R38">
        <v>91</v>
      </c>
      <c r="S38">
        <v>146</v>
      </c>
      <c r="T38">
        <v>55</v>
      </c>
      <c r="U38">
        <v>72.45</v>
      </c>
      <c r="V38" s="4"/>
      <c r="W38" s="4" t="s">
        <v>22</v>
      </c>
      <c r="X38" s="4">
        <f>SUM(Table1[[#This Row],[ZONE1_DISTANCE]:[ZONE3_DISTANCE]])</f>
        <v>35984.800000000003</v>
      </c>
      <c r="Y38" s="4">
        <f>Table1[[#This Row],[ZONE1_DISTANCE]]/Table1[[#This Row],[TOTAL_DISTANCE]]</f>
        <v>0.2406571663591294</v>
      </c>
    </row>
    <row r="39" spans="1:25" ht="21">
      <c r="A39" s="4">
        <v>38</v>
      </c>
      <c r="B39" s="5">
        <v>13.49</v>
      </c>
      <c r="C39" s="4">
        <v>1</v>
      </c>
      <c r="D39" s="4">
        <v>139</v>
      </c>
      <c r="E39" s="4" t="s">
        <v>13</v>
      </c>
      <c r="F39" s="5" t="s">
        <v>64</v>
      </c>
      <c r="G39" s="4" t="s">
        <v>1</v>
      </c>
      <c r="H39" s="9" t="s">
        <v>27</v>
      </c>
      <c r="I39" s="4" t="s">
        <v>22</v>
      </c>
      <c r="J39" s="4"/>
      <c r="K39" s="6" t="s">
        <v>14</v>
      </c>
      <c r="L39">
        <v>7765.8</v>
      </c>
      <c r="M39">
        <v>7130.5</v>
      </c>
      <c r="N39">
        <v>18470.400000000001</v>
      </c>
      <c r="O39">
        <v>114.545</v>
      </c>
      <c r="P39">
        <v>95.045000000000002</v>
      </c>
      <c r="Q39">
        <v>390.59399999999999</v>
      </c>
      <c r="R39">
        <v>52</v>
      </c>
      <c r="S39">
        <v>98</v>
      </c>
      <c r="T39">
        <v>47</v>
      </c>
      <c r="U39">
        <v>177.48099999999999</v>
      </c>
      <c r="V39" s="4"/>
      <c r="W39" s="4" t="s">
        <v>22</v>
      </c>
      <c r="X39" s="4">
        <f>SUM(Table1[[#This Row],[ZONE1_DISTANCE]:[ZONE3_DISTANCE]])</f>
        <v>33366.699999999997</v>
      </c>
      <c r="Y39" s="4">
        <f>Table1[[#This Row],[ZONE1_DISTANCE]]/Table1[[#This Row],[TOTAL_DISTANCE]]</f>
        <v>0.23274102623274104</v>
      </c>
    </row>
    <row r="40" spans="1:25" ht="21">
      <c r="A40" s="4">
        <v>39</v>
      </c>
      <c r="B40" s="5">
        <v>13.54</v>
      </c>
      <c r="C40" s="4">
        <v>1</v>
      </c>
      <c r="D40" s="4">
        <v>148</v>
      </c>
      <c r="E40" s="4" t="s">
        <v>12</v>
      </c>
      <c r="F40" s="5" t="s">
        <v>64</v>
      </c>
      <c r="G40" s="4" t="s">
        <v>1</v>
      </c>
      <c r="H40" s="9" t="s">
        <v>27</v>
      </c>
      <c r="I40" s="4" t="s">
        <v>22</v>
      </c>
      <c r="J40" s="4" t="s">
        <v>51</v>
      </c>
      <c r="K40" s="6" t="s">
        <v>14</v>
      </c>
      <c r="L40">
        <v>10087.4</v>
      </c>
      <c r="M40">
        <v>9242.9</v>
      </c>
      <c r="N40">
        <v>9027.2000000000007</v>
      </c>
      <c r="O40">
        <v>209.24199999999999</v>
      </c>
      <c r="P40">
        <v>156.464</v>
      </c>
      <c r="Q40">
        <v>234.47300000000001</v>
      </c>
      <c r="R40">
        <v>65</v>
      </c>
      <c r="S40">
        <v>101</v>
      </c>
      <c r="T40">
        <v>36</v>
      </c>
      <c r="U40">
        <v>110.746</v>
      </c>
      <c r="V40" s="4"/>
      <c r="W40" s="4" t="s">
        <v>22</v>
      </c>
      <c r="X40" s="4">
        <f>SUM(Table1[[#This Row],[ZONE1_DISTANCE]:[ZONE3_DISTANCE]])</f>
        <v>28357.5</v>
      </c>
      <c r="Y40" s="4">
        <f>Table1[[#This Row],[ZONE1_DISTANCE]]/Table1[[#This Row],[TOTAL_DISTANCE]]</f>
        <v>0.35572247200916862</v>
      </c>
    </row>
    <row r="41" spans="1:25" ht="21">
      <c r="A41" s="4">
        <v>40</v>
      </c>
      <c r="B41" s="5">
        <v>13.54</v>
      </c>
      <c r="C41" s="4">
        <v>1</v>
      </c>
      <c r="D41" s="4">
        <v>148</v>
      </c>
      <c r="E41" s="4" t="s">
        <v>13</v>
      </c>
      <c r="F41" s="5" t="s">
        <v>64</v>
      </c>
      <c r="G41" s="4" t="s">
        <v>2</v>
      </c>
      <c r="H41" s="10" t="s">
        <v>26</v>
      </c>
      <c r="I41" s="4" t="s">
        <v>22</v>
      </c>
      <c r="J41" s="4"/>
      <c r="K41" s="6" t="s">
        <v>14</v>
      </c>
      <c r="L41">
        <v>2372.9</v>
      </c>
      <c r="M41">
        <v>3546.5</v>
      </c>
      <c r="N41">
        <v>18643.2</v>
      </c>
      <c r="O41">
        <v>44.03</v>
      </c>
      <c r="P41">
        <v>58.161000000000001</v>
      </c>
      <c r="Q41">
        <v>497.988</v>
      </c>
      <c r="R41">
        <v>20</v>
      </c>
      <c r="S41">
        <v>43</v>
      </c>
      <c r="T41">
        <v>24</v>
      </c>
      <c r="U41">
        <v>190.76400000000001</v>
      </c>
      <c r="V41" s="4"/>
      <c r="W41" s="4" t="s">
        <v>22</v>
      </c>
      <c r="X41" s="4">
        <f>SUM(Table1[[#This Row],[ZONE1_DISTANCE]:[ZONE3_DISTANCE]])</f>
        <v>24562.6</v>
      </c>
      <c r="Y41" s="4">
        <f>Table1[[#This Row],[ZONE1_DISTANCE]]/Table1[[#This Row],[TOTAL_DISTANCE]]</f>
        <v>9.6606222468305483E-2</v>
      </c>
    </row>
    <row r="42" spans="1:25" ht="21">
      <c r="A42" s="4">
        <v>41</v>
      </c>
      <c r="B42" s="5">
        <v>14.09</v>
      </c>
      <c r="C42" s="4">
        <v>1</v>
      </c>
      <c r="D42" s="4">
        <v>139</v>
      </c>
      <c r="E42" s="4" t="s">
        <v>12</v>
      </c>
      <c r="F42" s="5" t="s">
        <v>65</v>
      </c>
      <c r="G42" s="4" t="s">
        <v>2</v>
      </c>
      <c r="H42" s="9" t="s">
        <v>26</v>
      </c>
      <c r="I42" s="4" t="s">
        <v>22</v>
      </c>
      <c r="J42" s="4" t="s">
        <v>40</v>
      </c>
      <c r="K42" s="6" t="s">
        <v>14</v>
      </c>
      <c r="L42">
        <v>4110.3</v>
      </c>
      <c r="M42">
        <v>10052.6</v>
      </c>
      <c r="N42">
        <v>13987</v>
      </c>
      <c r="O42">
        <v>64.494</v>
      </c>
      <c r="P42">
        <v>178.363</v>
      </c>
      <c r="Q42">
        <v>357.327</v>
      </c>
      <c r="R42">
        <v>35</v>
      </c>
      <c r="S42">
        <v>95</v>
      </c>
      <c r="T42">
        <v>61</v>
      </c>
      <c r="U42">
        <v>145.404</v>
      </c>
      <c r="V42" s="4"/>
      <c r="W42" s="4" t="s">
        <v>22</v>
      </c>
      <c r="X42" s="4">
        <f>SUM(Table1[[#This Row],[ZONE1_DISTANCE]:[ZONE3_DISTANCE]])</f>
        <v>28149.9</v>
      </c>
      <c r="Y42" s="4">
        <f>Table1[[#This Row],[ZONE1_DISTANCE]]/Table1[[#This Row],[TOTAL_DISTANCE]]</f>
        <v>0.14601472829388382</v>
      </c>
    </row>
    <row r="43" spans="1:25" ht="21">
      <c r="A43" s="4">
        <v>42</v>
      </c>
      <c r="B43" s="5">
        <v>14.09</v>
      </c>
      <c r="C43" s="4">
        <v>1</v>
      </c>
      <c r="D43" s="4">
        <v>139</v>
      </c>
      <c r="E43" s="4" t="s">
        <v>13</v>
      </c>
      <c r="F43" s="5" t="s">
        <v>65</v>
      </c>
      <c r="G43" s="4" t="s">
        <v>2</v>
      </c>
      <c r="H43" s="9" t="s">
        <v>28</v>
      </c>
      <c r="I43" s="4" t="s">
        <v>22</v>
      </c>
      <c r="J43" s="4"/>
      <c r="K43" s="6" t="s">
        <v>14</v>
      </c>
      <c r="L43">
        <v>4272.8999999999996</v>
      </c>
      <c r="M43">
        <v>2874.8</v>
      </c>
      <c r="N43">
        <v>5818.6</v>
      </c>
      <c r="O43">
        <v>175.02199999999999</v>
      </c>
      <c r="P43">
        <v>117.56</v>
      </c>
      <c r="Q43">
        <v>307.60300000000001</v>
      </c>
      <c r="R43">
        <v>16</v>
      </c>
      <c r="S43">
        <v>44</v>
      </c>
      <c r="T43">
        <v>29</v>
      </c>
      <c r="U43">
        <v>80.39</v>
      </c>
      <c r="V43" s="4"/>
      <c r="W43" s="4" t="s">
        <v>22</v>
      </c>
      <c r="X43" s="4">
        <f>SUM(Table1[[#This Row],[ZONE1_DISTANCE]:[ZONE3_DISTANCE]])</f>
        <v>12966.3</v>
      </c>
      <c r="Y43" s="4">
        <f>Table1[[#This Row],[ZONE1_DISTANCE]]/Table1[[#This Row],[TOTAL_DISTANCE]]</f>
        <v>0.32953888156220357</v>
      </c>
    </row>
    <row r="44" spans="1:25" ht="21">
      <c r="A44" s="4">
        <v>43</v>
      </c>
      <c r="B44" s="5">
        <v>14.13</v>
      </c>
      <c r="C44" s="4">
        <v>1</v>
      </c>
      <c r="D44" s="4">
        <v>148</v>
      </c>
      <c r="E44" s="4" t="s">
        <v>12</v>
      </c>
      <c r="F44" s="5" t="s">
        <v>65</v>
      </c>
      <c r="G44" s="4" t="s">
        <v>2</v>
      </c>
      <c r="H44" s="9" t="s">
        <v>28</v>
      </c>
      <c r="I44" s="4" t="s">
        <v>22</v>
      </c>
      <c r="J44" s="4" t="s">
        <v>40</v>
      </c>
      <c r="K44" s="6" t="s">
        <v>14</v>
      </c>
      <c r="L44">
        <v>2126.6</v>
      </c>
      <c r="M44">
        <v>5446.8</v>
      </c>
      <c r="N44">
        <v>5897.7</v>
      </c>
      <c r="O44">
        <v>102.991</v>
      </c>
      <c r="P44">
        <v>220.71600000000001</v>
      </c>
      <c r="Q44">
        <v>276.46699999999998</v>
      </c>
      <c r="R44">
        <v>30</v>
      </c>
      <c r="S44">
        <v>72</v>
      </c>
      <c r="T44">
        <v>43</v>
      </c>
      <c r="U44">
        <v>115.429</v>
      </c>
      <c r="V44" s="4"/>
      <c r="W44" s="4" t="s">
        <v>22</v>
      </c>
      <c r="X44" s="4">
        <f>SUM(Table1[[#This Row],[ZONE1_DISTANCE]:[ZONE3_DISTANCE]])</f>
        <v>13471.099999999999</v>
      </c>
      <c r="Y44" s="4">
        <f>Table1[[#This Row],[ZONE1_DISTANCE]]/Table1[[#This Row],[TOTAL_DISTANCE]]</f>
        <v>0.15786387154723816</v>
      </c>
    </row>
    <row r="45" spans="1:25" ht="21">
      <c r="A45" s="4">
        <v>44</v>
      </c>
      <c r="B45" s="5">
        <v>14.13</v>
      </c>
      <c r="C45" s="4">
        <v>1</v>
      </c>
      <c r="D45" s="4">
        <v>148</v>
      </c>
      <c r="E45" s="4" t="s">
        <v>13</v>
      </c>
      <c r="F45" s="5" t="s">
        <v>65</v>
      </c>
      <c r="G45" s="4" t="s">
        <v>2</v>
      </c>
      <c r="H45" s="9" t="s">
        <v>28</v>
      </c>
      <c r="I45" s="4" t="s">
        <v>22</v>
      </c>
      <c r="J45" s="4"/>
      <c r="K45" s="6" t="s">
        <v>14</v>
      </c>
      <c r="L45">
        <v>1551.1</v>
      </c>
      <c r="M45">
        <v>6583.7</v>
      </c>
      <c r="N45">
        <v>18691</v>
      </c>
      <c r="O45">
        <v>26.224</v>
      </c>
      <c r="P45">
        <v>111.914</v>
      </c>
      <c r="Q45">
        <v>462.036</v>
      </c>
      <c r="R45">
        <v>28</v>
      </c>
      <c r="S45">
        <v>84</v>
      </c>
      <c r="T45">
        <v>56</v>
      </c>
      <c r="U45">
        <v>90.417000000000002</v>
      </c>
      <c r="V45" s="4"/>
      <c r="W45" s="4" t="s">
        <v>22</v>
      </c>
      <c r="X45" s="4">
        <f>SUM(Table1[[#This Row],[ZONE1_DISTANCE]:[ZONE3_DISTANCE]])</f>
        <v>26825.8</v>
      </c>
      <c r="Y45" s="4">
        <f>Table1[[#This Row],[ZONE1_DISTANCE]]/Table1[[#This Row],[TOTAL_DISTANCE]]</f>
        <v>5.7821201977201052E-2</v>
      </c>
    </row>
    <row r="46" spans="1:25" ht="21">
      <c r="A46" s="4">
        <v>45</v>
      </c>
      <c r="B46" s="5">
        <v>14.24</v>
      </c>
      <c r="C46" s="4">
        <v>1</v>
      </c>
      <c r="D46" s="4">
        <v>139</v>
      </c>
      <c r="E46" s="4" t="s">
        <v>12</v>
      </c>
      <c r="F46" s="5" t="s">
        <v>65</v>
      </c>
      <c r="G46" s="4" t="s">
        <v>1</v>
      </c>
      <c r="H46" s="10" t="s">
        <v>28</v>
      </c>
      <c r="I46" s="4" t="s">
        <v>22</v>
      </c>
      <c r="J46" s="4" t="s">
        <v>40</v>
      </c>
      <c r="K46" s="6" t="s">
        <v>14</v>
      </c>
      <c r="L46">
        <v>11966.9</v>
      </c>
      <c r="M46">
        <v>10720.2</v>
      </c>
      <c r="N46">
        <v>14218.6</v>
      </c>
      <c r="O46">
        <v>135.76499999999999</v>
      </c>
      <c r="P46">
        <v>151.904</v>
      </c>
      <c r="Q46">
        <v>312.5</v>
      </c>
      <c r="R46">
        <v>95</v>
      </c>
      <c r="S46">
        <v>141</v>
      </c>
      <c r="T46">
        <v>46</v>
      </c>
      <c r="U46">
        <v>255.42699999999999</v>
      </c>
      <c r="V46" s="4"/>
      <c r="W46" s="4" t="s">
        <v>22</v>
      </c>
      <c r="X46" s="4">
        <f>SUM(Table1[[#This Row],[ZONE1_DISTANCE]:[ZONE3_DISTANCE]])</f>
        <v>36905.699999999997</v>
      </c>
      <c r="Y46" s="4">
        <f>Table1[[#This Row],[ZONE1_DISTANCE]]/Table1[[#This Row],[TOTAL_DISTANCE]]</f>
        <v>0.3242561447147731</v>
      </c>
    </row>
    <row r="47" spans="1:25" ht="21">
      <c r="A47" s="4">
        <v>46</v>
      </c>
      <c r="B47" s="5">
        <v>14.24</v>
      </c>
      <c r="C47" s="4">
        <v>1</v>
      </c>
      <c r="D47" s="4">
        <v>139</v>
      </c>
      <c r="E47" s="4" t="s">
        <v>13</v>
      </c>
      <c r="F47" s="5" t="s">
        <v>65</v>
      </c>
      <c r="G47" s="4" t="s">
        <v>2</v>
      </c>
      <c r="H47" s="9" t="s">
        <v>26</v>
      </c>
      <c r="I47" s="4" t="s">
        <v>22</v>
      </c>
      <c r="J47" s="4"/>
      <c r="K47" s="6" t="s">
        <v>14</v>
      </c>
      <c r="L47">
        <v>1651.5</v>
      </c>
      <c r="M47">
        <v>3635.9</v>
      </c>
      <c r="N47">
        <v>19576.2</v>
      </c>
      <c r="O47">
        <v>24.736000000000001</v>
      </c>
      <c r="P47">
        <v>58.725000000000001</v>
      </c>
      <c r="Q47">
        <v>516.71</v>
      </c>
      <c r="R47">
        <v>17</v>
      </c>
      <c r="S47">
        <v>39</v>
      </c>
      <c r="T47">
        <v>23</v>
      </c>
      <c r="U47">
        <v>245.42400000000001</v>
      </c>
      <c r="V47" s="4"/>
      <c r="W47" s="4" t="s">
        <v>22</v>
      </c>
      <c r="X47" s="4">
        <f>SUM(Table1[[#This Row],[ZONE1_DISTANCE]:[ZONE3_DISTANCE]])</f>
        <v>24863.599999999999</v>
      </c>
      <c r="Y47" s="4">
        <f>Table1[[#This Row],[ZONE1_DISTANCE]]/Table1[[#This Row],[TOTAL_DISTANCE]]</f>
        <v>6.6422400617770563E-2</v>
      </c>
    </row>
    <row r="48" spans="1:25" ht="21">
      <c r="A48" s="4">
        <v>47</v>
      </c>
      <c r="B48" s="5">
        <v>14.29</v>
      </c>
      <c r="C48" s="4">
        <v>1</v>
      </c>
      <c r="D48" s="4">
        <v>148</v>
      </c>
      <c r="E48" s="4" t="s">
        <v>12</v>
      </c>
      <c r="F48" s="5" t="s">
        <v>65</v>
      </c>
      <c r="G48" s="4" t="s">
        <v>2</v>
      </c>
      <c r="H48" s="9" t="s">
        <v>26</v>
      </c>
      <c r="I48" s="4" t="s">
        <v>22</v>
      </c>
      <c r="J48" s="4" t="s">
        <v>53</v>
      </c>
      <c r="K48" s="6" t="s">
        <v>14</v>
      </c>
      <c r="L48">
        <v>1609.5</v>
      </c>
      <c r="M48">
        <v>6129</v>
      </c>
      <c r="N48">
        <v>18244</v>
      </c>
      <c r="O48">
        <v>30.738</v>
      </c>
      <c r="P48">
        <v>117.423</v>
      </c>
      <c r="Q48">
        <v>452.00299999999999</v>
      </c>
      <c r="R48">
        <v>17</v>
      </c>
      <c r="S48">
        <v>65</v>
      </c>
      <c r="T48">
        <v>48</v>
      </c>
      <c r="U48">
        <v>172.93600000000001</v>
      </c>
      <c r="V48" s="4"/>
      <c r="W48" s="4" t="s">
        <v>22</v>
      </c>
      <c r="X48" s="4">
        <f>SUM(Table1[[#This Row],[ZONE1_DISTANCE]:[ZONE3_DISTANCE]])</f>
        <v>25982.5</v>
      </c>
      <c r="Y48" s="4">
        <f>Table1[[#This Row],[ZONE1_DISTANCE]]/Table1[[#This Row],[TOTAL_DISTANCE]]</f>
        <v>6.1945540267487734E-2</v>
      </c>
    </row>
    <row r="49" spans="1:25" ht="21">
      <c r="A49" s="4">
        <v>48</v>
      </c>
      <c r="B49" s="5">
        <v>14.29</v>
      </c>
      <c r="C49" s="4">
        <v>1</v>
      </c>
      <c r="D49" s="4">
        <v>148</v>
      </c>
      <c r="E49" s="4" t="s">
        <v>13</v>
      </c>
      <c r="F49" s="5" t="s">
        <v>65</v>
      </c>
      <c r="G49" s="4" t="s">
        <v>2</v>
      </c>
      <c r="H49" s="9" t="s">
        <v>28</v>
      </c>
      <c r="I49" s="4" t="s">
        <v>23</v>
      </c>
      <c r="J49" s="4" t="s">
        <v>54</v>
      </c>
      <c r="K49" s="6" t="s">
        <v>14</v>
      </c>
      <c r="L49">
        <v>0</v>
      </c>
      <c r="M49">
        <v>0</v>
      </c>
      <c r="N49">
        <v>344.1</v>
      </c>
      <c r="O49">
        <v>0</v>
      </c>
      <c r="P49">
        <v>0</v>
      </c>
      <c r="Q49">
        <v>600.16399999999999</v>
      </c>
      <c r="R49">
        <v>0</v>
      </c>
      <c r="S49">
        <v>0</v>
      </c>
      <c r="T49">
        <v>1</v>
      </c>
      <c r="U49" s="4" t="s">
        <v>52</v>
      </c>
      <c r="V49" s="4"/>
      <c r="W49" s="4" t="s">
        <v>22</v>
      </c>
      <c r="X49" s="4">
        <f>SUM(Table1[[#This Row],[ZONE1_DISTANCE]:[ZONE3_DISTANCE]])</f>
        <v>344.1</v>
      </c>
      <c r="Y49" s="4">
        <f>Table1[[#This Row],[ZONE1_DISTANCE]]/Table1[[#This Row],[TOTAL_DISTANCE]]</f>
        <v>0</v>
      </c>
    </row>
    <row r="50" spans="1:25" ht="21">
      <c r="A50" s="4">
        <v>49</v>
      </c>
      <c r="B50" s="5">
        <v>14.44</v>
      </c>
      <c r="C50" s="4">
        <v>1</v>
      </c>
      <c r="D50" s="4">
        <v>139</v>
      </c>
      <c r="E50" s="4" t="s">
        <v>12</v>
      </c>
      <c r="F50" s="5" t="s">
        <v>65</v>
      </c>
      <c r="G50" s="4" t="s">
        <v>2</v>
      </c>
      <c r="H50" s="9" t="s">
        <v>27</v>
      </c>
      <c r="I50" s="4" t="s">
        <v>1</v>
      </c>
      <c r="J50" s="4" t="s">
        <v>18</v>
      </c>
      <c r="K50" s="6" t="s">
        <v>14</v>
      </c>
      <c r="L50">
        <v>9794.2000000000007</v>
      </c>
      <c r="M50">
        <v>4118.7</v>
      </c>
      <c r="N50">
        <v>4078.1</v>
      </c>
      <c r="O50">
        <v>339.59800000000001</v>
      </c>
      <c r="P50">
        <v>137.95599999999999</v>
      </c>
      <c r="Q50">
        <v>122.613</v>
      </c>
      <c r="R50">
        <v>26</v>
      </c>
      <c r="S50">
        <v>44</v>
      </c>
      <c r="T50">
        <v>18</v>
      </c>
      <c r="U50">
        <v>10.422000000000001</v>
      </c>
      <c r="V50" s="4"/>
      <c r="W50" s="4" t="s">
        <v>22</v>
      </c>
      <c r="X50" s="4">
        <f>SUM(Table1[[#This Row],[ZONE1_DISTANCE]:[ZONE3_DISTANCE]])</f>
        <v>17991</v>
      </c>
      <c r="Y50" s="4">
        <f>Table1[[#This Row],[ZONE1_DISTANCE]]/Table1[[#This Row],[TOTAL_DISTANCE]]</f>
        <v>0.54439441943193823</v>
      </c>
    </row>
    <row r="51" spans="1:25" ht="21">
      <c r="A51" s="4">
        <v>50</v>
      </c>
      <c r="B51" s="5">
        <v>14.44</v>
      </c>
      <c r="C51" s="4">
        <v>1</v>
      </c>
      <c r="D51" s="4">
        <v>139</v>
      </c>
      <c r="E51" s="4" t="s">
        <v>13</v>
      </c>
      <c r="F51" s="5" t="s">
        <v>65</v>
      </c>
      <c r="G51" s="4" t="s">
        <v>1</v>
      </c>
      <c r="H51" s="9" t="s">
        <v>28</v>
      </c>
      <c r="I51" s="4" t="s">
        <v>1</v>
      </c>
      <c r="J51" s="4" t="s">
        <v>19</v>
      </c>
      <c r="K51" s="6" t="s">
        <v>14</v>
      </c>
      <c r="L51">
        <v>9571</v>
      </c>
      <c r="M51">
        <v>9080.4</v>
      </c>
      <c r="N51">
        <v>5136.5</v>
      </c>
      <c r="O51">
        <v>224.61199999999999</v>
      </c>
      <c r="P51">
        <v>238.02799999999999</v>
      </c>
      <c r="Q51">
        <v>137.50200000000001</v>
      </c>
      <c r="R51">
        <v>53</v>
      </c>
      <c r="S51">
        <v>90</v>
      </c>
      <c r="T51">
        <v>38</v>
      </c>
      <c r="U51">
        <v>5.4210000000000003</v>
      </c>
      <c r="V51" s="4"/>
      <c r="W51" s="4" t="s">
        <v>22</v>
      </c>
      <c r="X51" s="4">
        <f>SUM(Table1[[#This Row],[ZONE1_DISTANCE]:[ZONE3_DISTANCE]])</f>
        <v>23787.9</v>
      </c>
      <c r="Y51" s="4">
        <f>Table1[[#This Row],[ZONE1_DISTANCE]]/Table1[[#This Row],[TOTAL_DISTANCE]]</f>
        <v>0.40234741191950529</v>
      </c>
    </row>
    <row r="52" spans="1:25" ht="21">
      <c r="A52" s="4">
        <v>51</v>
      </c>
      <c r="B52" s="5">
        <v>14.47</v>
      </c>
      <c r="C52" s="4">
        <v>1</v>
      </c>
      <c r="D52" s="4">
        <v>148</v>
      </c>
      <c r="E52" s="4" t="s">
        <v>12</v>
      </c>
      <c r="F52" s="5" t="s">
        <v>65</v>
      </c>
      <c r="G52" s="4" t="s">
        <v>2</v>
      </c>
      <c r="H52" s="9" t="s">
        <v>28</v>
      </c>
      <c r="I52" s="4" t="s">
        <v>1</v>
      </c>
      <c r="J52" s="4" t="s">
        <v>20</v>
      </c>
      <c r="K52" s="6" t="s">
        <v>14</v>
      </c>
      <c r="L52">
        <v>5934.4</v>
      </c>
      <c r="M52">
        <v>7750.7</v>
      </c>
      <c r="N52">
        <v>11562.4</v>
      </c>
      <c r="O52">
        <v>123.223</v>
      </c>
      <c r="P52">
        <v>134.22200000000001</v>
      </c>
      <c r="Q52">
        <v>342.72500000000002</v>
      </c>
      <c r="R52">
        <v>46</v>
      </c>
      <c r="S52">
        <v>85</v>
      </c>
      <c r="T52">
        <v>39</v>
      </c>
      <c r="U52">
        <v>109.371</v>
      </c>
      <c r="V52" s="4" t="s">
        <v>45</v>
      </c>
      <c r="W52" s="4" t="s">
        <v>23</v>
      </c>
      <c r="X52" s="4">
        <f>SUM(Table1[[#This Row],[ZONE1_DISTANCE]:[ZONE3_DISTANCE]])</f>
        <v>25247.5</v>
      </c>
      <c r="Y52" s="4">
        <f>Table1[[#This Row],[ZONE1_DISTANCE]]/Table1[[#This Row],[TOTAL_DISTANCE]]</f>
        <v>0.23504901475393603</v>
      </c>
    </row>
    <row r="53" spans="1:25" ht="21">
      <c r="A53" s="4">
        <v>52</v>
      </c>
      <c r="B53" s="5">
        <v>14.47</v>
      </c>
      <c r="C53" s="4">
        <v>1</v>
      </c>
      <c r="D53" s="4">
        <v>148</v>
      </c>
      <c r="E53" s="4" t="s">
        <v>13</v>
      </c>
      <c r="F53" s="5" t="s">
        <v>65</v>
      </c>
      <c r="G53" s="4" t="s">
        <v>2</v>
      </c>
      <c r="H53" s="9" t="s">
        <v>28</v>
      </c>
      <c r="I53" s="4" t="s">
        <v>1</v>
      </c>
      <c r="J53" s="4" t="s">
        <v>55</v>
      </c>
      <c r="K53" s="6" t="s">
        <v>14</v>
      </c>
      <c r="L53">
        <v>18590.400000000001</v>
      </c>
      <c r="M53">
        <v>15282.4</v>
      </c>
      <c r="N53">
        <v>6432</v>
      </c>
      <c r="O53">
        <v>272.00200000000001</v>
      </c>
      <c r="P53">
        <v>214.404</v>
      </c>
      <c r="Q53">
        <v>113.765</v>
      </c>
      <c r="R53">
        <v>147</v>
      </c>
      <c r="S53">
        <v>210</v>
      </c>
      <c r="T53">
        <v>63</v>
      </c>
      <c r="U53">
        <v>109.371</v>
      </c>
      <c r="V53" s="4" t="s">
        <v>45</v>
      </c>
      <c r="W53" s="4" t="s">
        <v>23</v>
      </c>
      <c r="X53" s="4">
        <f>SUM(Table1[[#This Row],[ZONE1_DISTANCE]:[ZONE3_DISTANCE]])</f>
        <v>40304.800000000003</v>
      </c>
      <c r="Y53" s="4">
        <f>Table1[[#This Row],[ZONE1_DISTANCE]]/Table1[[#This Row],[TOTAL_DISTANCE]]</f>
        <v>0.46124531073222047</v>
      </c>
    </row>
    <row r="54" spans="1:25" ht="21">
      <c r="A54" s="4">
        <v>53</v>
      </c>
      <c r="B54" s="5">
        <v>14.58</v>
      </c>
      <c r="C54" s="4">
        <v>1</v>
      </c>
      <c r="D54" s="4">
        <v>139</v>
      </c>
      <c r="E54" s="4" t="s">
        <v>12</v>
      </c>
      <c r="F54" s="5" t="s">
        <v>65</v>
      </c>
      <c r="G54" s="4" t="s">
        <v>2</v>
      </c>
      <c r="H54" s="9" t="s">
        <v>26</v>
      </c>
      <c r="I54" s="4" t="s">
        <v>22</v>
      </c>
      <c r="J54" s="4" t="s">
        <v>40</v>
      </c>
      <c r="K54" s="6" t="s">
        <v>14</v>
      </c>
      <c r="L54">
        <v>2219.4</v>
      </c>
      <c r="M54">
        <v>8684.5</v>
      </c>
      <c r="N54">
        <v>15973.7</v>
      </c>
      <c r="O54">
        <v>41.667000000000002</v>
      </c>
      <c r="P54">
        <v>157.05099999999999</v>
      </c>
      <c r="Q54">
        <v>401.45699999999999</v>
      </c>
      <c r="R54">
        <v>24</v>
      </c>
      <c r="S54">
        <v>83</v>
      </c>
      <c r="T54">
        <v>60</v>
      </c>
      <c r="U54">
        <v>175.46299999999999</v>
      </c>
      <c r="V54" s="4"/>
      <c r="W54" s="4" t="s">
        <v>22</v>
      </c>
      <c r="X54" s="4">
        <f>SUM(Table1[[#This Row],[ZONE1_DISTANCE]:[ZONE3_DISTANCE]])</f>
        <v>26877.599999999999</v>
      </c>
      <c r="Y54" s="4">
        <f>Table1[[#This Row],[ZONE1_DISTANCE]]/Table1[[#This Row],[TOTAL_DISTANCE]]</f>
        <v>8.2574336994374511E-2</v>
      </c>
    </row>
    <row r="55" spans="1:25" ht="21">
      <c r="A55" s="4">
        <v>54</v>
      </c>
      <c r="B55" s="5">
        <v>14.58</v>
      </c>
      <c r="C55" s="4">
        <v>1</v>
      </c>
      <c r="D55" s="4">
        <v>139</v>
      </c>
      <c r="E55" s="4" t="s">
        <v>13</v>
      </c>
      <c r="F55" s="5" t="s">
        <v>65</v>
      </c>
      <c r="G55" s="4" t="s">
        <v>2</v>
      </c>
      <c r="H55" s="9" t="s">
        <v>28</v>
      </c>
      <c r="I55" s="4" t="s">
        <v>22</v>
      </c>
      <c r="J55" s="4"/>
      <c r="K55" s="6" t="s">
        <v>14</v>
      </c>
      <c r="L55">
        <v>10361.1</v>
      </c>
      <c r="M55">
        <v>15386.2</v>
      </c>
      <c r="N55">
        <v>18058.400000000001</v>
      </c>
      <c r="O55">
        <v>135.304</v>
      </c>
      <c r="P55">
        <v>179.94900000000001</v>
      </c>
      <c r="Q55">
        <v>284.923</v>
      </c>
      <c r="R55">
        <v>106</v>
      </c>
      <c r="S55">
        <v>207</v>
      </c>
      <c r="T55">
        <v>102</v>
      </c>
      <c r="U55">
        <v>5.4139999999999997</v>
      </c>
      <c r="V55" s="4"/>
      <c r="W55" s="4" t="s">
        <v>22</v>
      </c>
      <c r="X55" s="4">
        <f>SUM(Table1[[#This Row],[ZONE1_DISTANCE]:[ZONE3_DISTANCE]])</f>
        <v>43805.700000000004</v>
      </c>
      <c r="Y55" s="4">
        <f>Table1[[#This Row],[ZONE1_DISTANCE]]/Table1[[#This Row],[TOTAL_DISTANCE]]</f>
        <v>0.2365240139981783</v>
      </c>
    </row>
    <row r="56" spans="1:25" ht="21">
      <c r="A56" s="4">
        <v>55</v>
      </c>
      <c r="B56" s="5">
        <v>15.05</v>
      </c>
      <c r="C56" s="4">
        <v>1</v>
      </c>
      <c r="D56" s="4">
        <v>148</v>
      </c>
      <c r="E56" s="4" t="s">
        <v>12</v>
      </c>
      <c r="F56" s="5" t="s">
        <v>65</v>
      </c>
      <c r="G56" s="4" t="s">
        <v>1</v>
      </c>
      <c r="H56" s="10" t="s">
        <v>26</v>
      </c>
      <c r="I56" s="4" t="s">
        <v>23</v>
      </c>
      <c r="J56" s="4" t="s">
        <v>21</v>
      </c>
      <c r="K56" s="6" t="s">
        <v>14</v>
      </c>
      <c r="L56">
        <v>0</v>
      </c>
      <c r="M56">
        <v>0</v>
      </c>
      <c r="N56">
        <v>210.7</v>
      </c>
      <c r="O56">
        <v>0</v>
      </c>
      <c r="P56">
        <v>0</v>
      </c>
      <c r="Q56">
        <v>600.16700000000003</v>
      </c>
      <c r="R56">
        <v>0</v>
      </c>
      <c r="S56">
        <v>0</v>
      </c>
      <c r="T56">
        <v>1</v>
      </c>
      <c r="U56" s="4" t="s">
        <v>52</v>
      </c>
      <c r="V56" s="4"/>
      <c r="W56" s="4" t="s">
        <v>22</v>
      </c>
      <c r="X56" s="4">
        <f>SUM(Table1[[#This Row],[ZONE1_DISTANCE]:[ZONE3_DISTANCE]])</f>
        <v>210.7</v>
      </c>
      <c r="Y56" s="4">
        <f>Table1[[#This Row],[ZONE1_DISTANCE]]/Table1[[#This Row],[TOTAL_DISTANCE]]</f>
        <v>0</v>
      </c>
    </row>
    <row r="57" spans="1:25" ht="21">
      <c r="A57" s="4">
        <v>56</v>
      </c>
      <c r="B57" s="5">
        <v>15.05</v>
      </c>
      <c r="C57" s="4">
        <v>1</v>
      </c>
      <c r="D57" s="4">
        <v>148</v>
      </c>
      <c r="E57" s="4" t="s">
        <v>13</v>
      </c>
      <c r="F57" s="5" t="s">
        <v>65</v>
      </c>
      <c r="G57" s="4" t="s">
        <v>2</v>
      </c>
      <c r="H57" s="9" t="s">
        <v>28</v>
      </c>
      <c r="I57" s="4" t="s">
        <v>22</v>
      </c>
      <c r="J57" s="4" t="s">
        <v>56</v>
      </c>
      <c r="K57" s="6" t="s">
        <v>14</v>
      </c>
      <c r="L57">
        <v>3368</v>
      </c>
      <c r="M57">
        <v>6882.3</v>
      </c>
      <c r="N57">
        <v>13193.1</v>
      </c>
      <c r="O57">
        <v>66.861000000000004</v>
      </c>
      <c r="P57">
        <v>138.32900000000001</v>
      </c>
      <c r="Q57">
        <v>394.976</v>
      </c>
      <c r="R57">
        <v>28</v>
      </c>
      <c r="S57">
        <v>73</v>
      </c>
      <c r="T57">
        <v>46</v>
      </c>
      <c r="U57">
        <v>87.847999999999999</v>
      </c>
      <c r="V57" s="4"/>
      <c r="W57" s="4" t="s">
        <v>22</v>
      </c>
      <c r="X57" s="4">
        <f>SUM(Table1[[#This Row],[ZONE1_DISTANCE]:[ZONE3_DISTANCE]])</f>
        <v>23443.4</v>
      </c>
      <c r="Y57" s="4">
        <f>Table1[[#This Row],[ZONE1_DISTANCE]]/Table1[[#This Row],[TOTAL_DISTANCE]]</f>
        <v>0.14366516802170332</v>
      </c>
    </row>
    <row r="58" spans="1:25" ht="21">
      <c r="A58" s="4">
        <v>57</v>
      </c>
      <c r="B58" s="5">
        <v>15.149999999999999</v>
      </c>
      <c r="C58" s="4">
        <v>1</v>
      </c>
      <c r="D58" s="4">
        <v>139</v>
      </c>
      <c r="E58" s="4" t="s">
        <v>12</v>
      </c>
      <c r="F58" s="5" t="s">
        <v>65</v>
      </c>
      <c r="G58" s="4" t="s">
        <v>2</v>
      </c>
      <c r="H58" s="9" t="s">
        <v>26</v>
      </c>
      <c r="I58" s="4" t="s">
        <v>22</v>
      </c>
      <c r="J58" s="4" t="s">
        <v>40</v>
      </c>
      <c r="K58" s="6" t="s">
        <v>14</v>
      </c>
      <c r="L58">
        <v>5867.6</v>
      </c>
      <c r="M58">
        <v>3041.8</v>
      </c>
      <c r="N58">
        <v>4208.8999999999996</v>
      </c>
      <c r="O58">
        <v>318.40600000000001</v>
      </c>
      <c r="P58">
        <v>164.27699999999999</v>
      </c>
      <c r="Q58">
        <v>117.49</v>
      </c>
      <c r="R58">
        <v>14</v>
      </c>
      <c r="S58">
        <v>24</v>
      </c>
      <c r="T58">
        <v>9</v>
      </c>
      <c r="U58">
        <v>125.447</v>
      </c>
      <c r="V58" s="4"/>
      <c r="W58" s="4" t="s">
        <v>22</v>
      </c>
      <c r="X58" s="4">
        <f>SUM(Table1[[#This Row],[ZONE1_DISTANCE]:[ZONE3_DISTANCE]])</f>
        <v>13118.300000000001</v>
      </c>
      <c r="Y58" s="4">
        <f>Table1[[#This Row],[ZONE1_DISTANCE]]/Table1[[#This Row],[TOTAL_DISTANCE]]</f>
        <v>0.44728356570592226</v>
      </c>
    </row>
    <row r="59" spans="1:25" ht="21">
      <c r="A59" s="4">
        <v>58</v>
      </c>
      <c r="B59" s="5">
        <v>15.149999999999999</v>
      </c>
      <c r="C59" s="4">
        <v>1</v>
      </c>
      <c r="D59" s="4">
        <v>139</v>
      </c>
      <c r="E59" s="4" t="s">
        <v>13</v>
      </c>
      <c r="F59" s="5" t="s">
        <v>65</v>
      </c>
      <c r="G59" s="4" t="s">
        <v>2</v>
      </c>
      <c r="H59" s="9" t="s">
        <v>28</v>
      </c>
      <c r="I59" s="4" t="s">
        <v>22</v>
      </c>
      <c r="J59" s="4"/>
      <c r="K59" s="6" t="s">
        <v>14</v>
      </c>
      <c r="L59">
        <v>776.7</v>
      </c>
      <c r="M59">
        <v>3785.2</v>
      </c>
      <c r="N59">
        <v>9379.4</v>
      </c>
      <c r="O59">
        <v>26.396999999999998</v>
      </c>
      <c r="P59">
        <v>135.92699999999999</v>
      </c>
      <c r="Q59">
        <v>437.84899999999999</v>
      </c>
      <c r="R59">
        <v>15</v>
      </c>
      <c r="S59">
        <v>46</v>
      </c>
      <c r="T59">
        <v>32</v>
      </c>
      <c r="U59">
        <v>80.430000000000007</v>
      </c>
      <c r="V59" s="4"/>
      <c r="W59" s="4" t="s">
        <v>22</v>
      </c>
      <c r="X59" s="4">
        <f>SUM(Table1[[#This Row],[ZONE1_DISTANCE]:[ZONE3_DISTANCE]])</f>
        <v>13941.3</v>
      </c>
      <c r="Y59" s="4">
        <f>Table1[[#This Row],[ZONE1_DISTANCE]]/Table1[[#This Row],[TOTAL_DISTANCE]]</f>
        <v>5.571216457575693E-2</v>
      </c>
    </row>
    <row r="60" spans="1:25" ht="21">
      <c r="A60" s="4">
        <v>59</v>
      </c>
      <c r="B60" s="5">
        <v>15.21</v>
      </c>
      <c r="C60" s="4">
        <v>1</v>
      </c>
      <c r="D60" s="4">
        <v>148</v>
      </c>
      <c r="E60" s="4" t="s">
        <v>12</v>
      </c>
      <c r="F60" s="5" t="s">
        <v>65</v>
      </c>
      <c r="G60" s="4" t="s">
        <v>2</v>
      </c>
      <c r="H60" s="9" t="s">
        <v>28</v>
      </c>
      <c r="I60" s="4" t="s">
        <v>22</v>
      </c>
      <c r="J60" s="4" t="s">
        <v>40</v>
      </c>
      <c r="K60" s="6" t="s">
        <v>14</v>
      </c>
      <c r="L60">
        <v>2739.2</v>
      </c>
      <c r="M60">
        <v>7627.3</v>
      </c>
      <c r="N60">
        <v>10996.4</v>
      </c>
      <c r="O60">
        <v>54.491999999999997</v>
      </c>
      <c r="P60">
        <v>177.21700000000001</v>
      </c>
      <c r="Q60">
        <v>368.46</v>
      </c>
      <c r="R60">
        <v>36</v>
      </c>
      <c r="S60">
        <v>81</v>
      </c>
      <c r="T60">
        <v>45</v>
      </c>
      <c r="U60">
        <v>25.395</v>
      </c>
      <c r="V60" s="4"/>
      <c r="W60" s="4" t="s">
        <v>22</v>
      </c>
      <c r="X60" s="4">
        <f>SUM(Table1[[#This Row],[ZONE1_DISTANCE]:[ZONE3_DISTANCE]])</f>
        <v>21362.9</v>
      </c>
      <c r="Y60" s="4">
        <f>Table1[[#This Row],[ZONE1_DISTANCE]]/Table1[[#This Row],[TOTAL_DISTANCE]]</f>
        <v>0.12822229191729587</v>
      </c>
    </row>
    <row r="61" spans="1:25" ht="21">
      <c r="A61" s="4">
        <v>60</v>
      </c>
      <c r="B61" s="5">
        <v>15.21</v>
      </c>
      <c r="C61" s="4">
        <v>1</v>
      </c>
      <c r="D61" s="4">
        <v>148</v>
      </c>
      <c r="E61" s="4" t="s">
        <v>13</v>
      </c>
      <c r="F61" s="5" t="s">
        <v>65</v>
      </c>
      <c r="G61" s="4" t="s">
        <v>2</v>
      </c>
      <c r="H61" s="9" t="s">
        <v>28</v>
      </c>
      <c r="I61" s="4" t="s">
        <v>22</v>
      </c>
      <c r="J61" s="4"/>
      <c r="K61" s="6" t="s">
        <v>14</v>
      </c>
      <c r="L61">
        <v>10063.5</v>
      </c>
      <c r="M61">
        <v>10244.200000000001</v>
      </c>
      <c r="N61">
        <v>10563.9</v>
      </c>
      <c r="O61">
        <v>193.11799999999999</v>
      </c>
      <c r="P61">
        <v>161.34700000000001</v>
      </c>
      <c r="Q61">
        <v>245.70500000000001</v>
      </c>
      <c r="R61">
        <v>74</v>
      </c>
      <c r="S61">
        <v>112</v>
      </c>
      <c r="T61">
        <v>38</v>
      </c>
      <c r="U61">
        <v>80.412000000000006</v>
      </c>
      <c r="V61" s="4"/>
      <c r="W61" s="4" t="s">
        <v>22</v>
      </c>
      <c r="X61" s="4">
        <f>SUM(Table1[[#This Row],[ZONE1_DISTANCE]:[ZONE3_DISTANCE]])</f>
        <v>30871.599999999999</v>
      </c>
      <c r="Y61" s="4">
        <f>Table1[[#This Row],[ZONE1_DISTANCE]]/Table1[[#This Row],[TOTAL_DISTANCE]]</f>
        <v>0.32597921714456007</v>
      </c>
    </row>
    <row r="62" spans="1:25" ht="21">
      <c r="A62" s="4">
        <v>61</v>
      </c>
      <c r="B62" s="5">
        <v>15.32</v>
      </c>
      <c r="C62" s="4">
        <v>1</v>
      </c>
      <c r="D62" s="4">
        <v>139</v>
      </c>
      <c r="E62" s="4" t="s">
        <v>12</v>
      </c>
      <c r="F62" s="5" t="s">
        <v>65</v>
      </c>
      <c r="G62" s="4" t="s">
        <v>1</v>
      </c>
      <c r="H62" s="9" t="s">
        <v>28</v>
      </c>
      <c r="I62" s="4" t="s">
        <v>22</v>
      </c>
      <c r="J62" s="4" t="s">
        <v>40</v>
      </c>
      <c r="K62" s="6" t="s">
        <v>14</v>
      </c>
      <c r="L62">
        <v>12916.8</v>
      </c>
      <c r="M62">
        <v>7632.2</v>
      </c>
      <c r="N62">
        <v>9312.6</v>
      </c>
      <c r="O62">
        <v>255.96899999999999</v>
      </c>
      <c r="P62">
        <v>112.498</v>
      </c>
      <c r="Q62">
        <v>231.70400000000001</v>
      </c>
      <c r="R62">
        <v>70</v>
      </c>
      <c r="S62">
        <v>119</v>
      </c>
      <c r="T62">
        <v>50</v>
      </c>
      <c r="U62">
        <v>45.421999999999997</v>
      </c>
      <c r="V62" s="4"/>
      <c r="W62" s="4" t="s">
        <v>22</v>
      </c>
      <c r="X62" s="4">
        <f>SUM(Table1[[#This Row],[ZONE1_DISTANCE]:[ZONE3_DISTANCE]])</f>
        <v>29861.599999999999</v>
      </c>
      <c r="Y62" s="4">
        <f>Table1[[#This Row],[ZONE1_DISTANCE]]/Table1[[#This Row],[TOTAL_DISTANCE]]</f>
        <v>0.43255552281190557</v>
      </c>
    </row>
    <row r="63" spans="1:25" ht="21">
      <c r="A63" s="4">
        <v>62</v>
      </c>
      <c r="B63" s="5">
        <v>15.32</v>
      </c>
      <c r="C63" s="4">
        <v>1</v>
      </c>
      <c r="D63" s="4">
        <v>139</v>
      </c>
      <c r="E63" s="4" t="s">
        <v>13</v>
      </c>
      <c r="F63" s="5" t="s">
        <v>65</v>
      </c>
      <c r="G63" s="4" t="s">
        <v>2</v>
      </c>
      <c r="H63" s="10" t="s">
        <v>28</v>
      </c>
      <c r="I63" s="4" t="s">
        <v>22</v>
      </c>
      <c r="J63" s="4"/>
      <c r="K63" s="6" t="s">
        <v>14</v>
      </c>
      <c r="L63">
        <v>7436.7</v>
      </c>
      <c r="M63">
        <v>17048.900000000001</v>
      </c>
      <c r="N63">
        <v>14318.3</v>
      </c>
      <c r="O63">
        <v>111.215</v>
      </c>
      <c r="P63">
        <v>241.74299999999999</v>
      </c>
      <c r="Q63">
        <v>247.214</v>
      </c>
      <c r="R63">
        <v>78</v>
      </c>
      <c r="S63">
        <v>135</v>
      </c>
      <c r="T63">
        <v>57</v>
      </c>
      <c r="U63">
        <v>115.444</v>
      </c>
      <c r="V63" s="4"/>
      <c r="W63" s="4" t="s">
        <v>22</v>
      </c>
      <c r="X63" s="4">
        <f>SUM(Table1[[#This Row],[ZONE1_DISTANCE]:[ZONE3_DISTANCE]])</f>
        <v>38803.9</v>
      </c>
      <c r="Y63" s="4">
        <f>Table1[[#This Row],[ZONE1_DISTANCE]]/Table1[[#This Row],[TOTAL_DISTANCE]]</f>
        <v>0.19164826215921593</v>
      </c>
    </row>
    <row r="64" spans="1:25" ht="21">
      <c r="A64" s="4">
        <v>63</v>
      </c>
      <c r="B64" s="5">
        <v>15.39</v>
      </c>
      <c r="C64" s="4">
        <v>1</v>
      </c>
      <c r="D64" s="4">
        <v>148</v>
      </c>
      <c r="E64" s="4" t="s">
        <v>12</v>
      </c>
      <c r="F64" s="5" t="s">
        <v>65</v>
      </c>
      <c r="G64" s="4" t="s">
        <v>2</v>
      </c>
      <c r="H64" s="9" t="s">
        <v>28</v>
      </c>
      <c r="I64" s="4" t="s">
        <v>22</v>
      </c>
      <c r="J64" s="4" t="s">
        <v>57</v>
      </c>
      <c r="K64" s="6" t="s">
        <v>14</v>
      </c>
      <c r="L64">
        <v>5566.3</v>
      </c>
      <c r="M64">
        <v>12776.6</v>
      </c>
      <c r="N64">
        <v>5774.3</v>
      </c>
      <c r="O64">
        <v>156.892</v>
      </c>
      <c r="P64">
        <v>318.988</v>
      </c>
      <c r="Q64">
        <v>124.294</v>
      </c>
      <c r="R64">
        <v>42</v>
      </c>
      <c r="S64">
        <v>72</v>
      </c>
      <c r="T64">
        <v>31</v>
      </c>
      <c r="U64">
        <v>15.367000000000001</v>
      </c>
      <c r="V64" s="4"/>
      <c r="W64" s="4" t="s">
        <v>22</v>
      </c>
      <c r="X64" s="4">
        <f>SUM(Table1[[#This Row],[ZONE1_DISTANCE]:[ZONE3_DISTANCE]])</f>
        <v>24117.200000000001</v>
      </c>
      <c r="Y64" s="4">
        <f>Table1[[#This Row],[ZONE1_DISTANCE]]/Table1[[#This Row],[TOTAL_DISTANCE]]</f>
        <v>0.23080208316056591</v>
      </c>
    </row>
    <row r="65" spans="1:25" ht="21">
      <c r="A65" s="4">
        <v>64</v>
      </c>
      <c r="B65" s="5">
        <v>15.39</v>
      </c>
      <c r="C65" s="4">
        <v>1</v>
      </c>
      <c r="D65" s="4">
        <v>148</v>
      </c>
      <c r="E65" s="4" t="s">
        <v>13</v>
      </c>
      <c r="F65" s="5" t="s">
        <v>65</v>
      </c>
      <c r="G65" s="4" t="s">
        <v>2</v>
      </c>
      <c r="H65" s="7" t="s">
        <v>27</v>
      </c>
      <c r="I65" s="4" t="s">
        <v>22</v>
      </c>
      <c r="J65" s="4"/>
      <c r="K65" s="6" t="s">
        <v>14</v>
      </c>
      <c r="L65">
        <v>2476.3000000000002</v>
      </c>
      <c r="M65">
        <v>4621.7</v>
      </c>
      <c r="N65">
        <v>18286.8</v>
      </c>
      <c r="O65">
        <v>52.965000000000003</v>
      </c>
      <c r="P65">
        <v>80.521000000000001</v>
      </c>
      <c r="Q65">
        <v>466.68900000000002</v>
      </c>
      <c r="R65">
        <v>23</v>
      </c>
      <c r="S65">
        <v>52</v>
      </c>
      <c r="T65">
        <v>30</v>
      </c>
      <c r="U65">
        <v>115.4</v>
      </c>
      <c r="V65" s="4"/>
      <c r="W65" s="4" t="s">
        <v>22</v>
      </c>
      <c r="X65" s="4">
        <f>SUM(Table1[[#This Row],[ZONE1_DISTANCE]:[ZONE3_DISTANCE]])</f>
        <v>25384.799999999999</v>
      </c>
      <c r="Y65" s="4">
        <f>Table1[[#This Row],[ZONE1_DISTANCE]]/Table1[[#This Row],[TOTAL_DISTANCE]]</f>
        <v>9.7550502663010949E-2</v>
      </c>
    </row>
    <row r="66" spans="1:25" ht="21">
      <c r="A66" s="4">
        <v>65</v>
      </c>
      <c r="B66" s="5">
        <v>15.489999999999998</v>
      </c>
      <c r="C66" s="4">
        <v>1</v>
      </c>
      <c r="D66" s="4">
        <v>139</v>
      </c>
      <c r="E66" s="4" t="s">
        <v>12</v>
      </c>
      <c r="F66" s="5" t="s">
        <v>65</v>
      </c>
      <c r="G66" s="4" t="s">
        <v>2</v>
      </c>
      <c r="H66" s="7" t="s">
        <v>28</v>
      </c>
      <c r="I66" s="4" t="s">
        <v>22</v>
      </c>
      <c r="J66" s="4" t="s">
        <v>58</v>
      </c>
      <c r="K66" s="6" t="s">
        <v>14</v>
      </c>
      <c r="L66">
        <v>3469.5</v>
      </c>
      <c r="M66">
        <v>5374.9</v>
      </c>
      <c r="N66">
        <v>8715.1</v>
      </c>
      <c r="O66">
        <v>86.504000000000005</v>
      </c>
      <c r="P66">
        <v>135.14699999999999</v>
      </c>
      <c r="Q66">
        <v>378.51900000000001</v>
      </c>
      <c r="R66">
        <v>33</v>
      </c>
      <c r="S66">
        <v>71</v>
      </c>
      <c r="T66">
        <v>38</v>
      </c>
      <c r="U66">
        <v>23.495000000000001</v>
      </c>
      <c r="V66" s="4" t="s">
        <v>45</v>
      </c>
      <c r="W66" s="4" t="s">
        <v>23</v>
      </c>
      <c r="X66" s="4">
        <f>SUM(Table1[[#This Row],[ZONE1_DISTANCE]:[ZONE3_DISTANCE]])</f>
        <v>17559.5</v>
      </c>
      <c r="Y66" s="4">
        <f>Table1[[#This Row],[ZONE1_DISTANCE]]/Table1[[#This Row],[TOTAL_DISTANCE]]</f>
        <v>0.19758535265810531</v>
      </c>
    </row>
    <row r="67" spans="1:25" ht="21">
      <c r="A67" s="4">
        <v>66</v>
      </c>
      <c r="B67" s="5">
        <v>15.489999999999998</v>
      </c>
      <c r="C67" s="4">
        <v>1</v>
      </c>
      <c r="D67" s="4">
        <v>139</v>
      </c>
      <c r="E67" s="4" t="s">
        <v>13</v>
      </c>
      <c r="F67" s="5" t="s">
        <v>65</v>
      </c>
      <c r="G67" s="4" t="s">
        <v>2</v>
      </c>
      <c r="H67" s="7" t="s">
        <v>28</v>
      </c>
      <c r="I67" s="4" t="s">
        <v>22</v>
      </c>
      <c r="J67" s="4"/>
      <c r="K67" s="6" t="s">
        <v>14</v>
      </c>
      <c r="L67">
        <v>4805.8</v>
      </c>
      <c r="M67">
        <v>5315.8</v>
      </c>
      <c r="N67">
        <v>11524.8</v>
      </c>
      <c r="O67">
        <v>110.301</v>
      </c>
      <c r="P67">
        <v>105.411</v>
      </c>
      <c r="Q67">
        <v>384.459</v>
      </c>
      <c r="R67">
        <v>35</v>
      </c>
      <c r="S67">
        <v>71</v>
      </c>
      <c r="T67">
        <v>36</v>
      </c>
      <c r="U67">
        <v>143.52600000000001</v>
      </c>
      <c r="V67" s="4"/>
      <c r="W67" s="4" t="s">
        <v>22</v>
      </c>
      <c r="X67" s="4">
        <f>SUM(Table1[[#This Row],[ZONE1_DISTANCE]:[ZONE3_DISTANCE]])</f>
        <v>21646.400000000001</v>
      </c>
      <c r="Y67" s="4">
        <f>Table1[[#This Row],[ZONE1_DISTANCE]]/Table1[[#This Row],[TOTAL_DISTANCE]]</f>
        <v>0.22201382215980486</v>
      </c>
    </row>
    <row r="68" spans="1:25" ht="21">
      <c r="E68" s="4"/>
      <c r="F68" s="5"/>
      <c r="G68" s="4"/>
      <c r="H68" s="7"/>
      <c r="I68" s="4"/>
      <c r="J68" s="4"/>
      <c r="K68" s="6"/>
      <c r="M68" s="2"/>
      <c r="N68" s="1"/>
      <c r="Q68" s="1"/>
      <c r="R68" s="1"/>
    </row>
    <row r="69" spans="1:25" ht="21">
      <c r="E69" s="4"/>
      <c r="F69" s="5"/>
      <c r="G69" s="4"/>
      <c r="H69" s="7"/>
      <c r="I69" s="4"/>
      <c r="J69" s="4"/>
      <c r="K69" s="6"/>
      <c r="M69" s="2"/>
      <c r="N69" s="2"/>
      <c r="Q69" s="1"/>
      <c r="R69" s="1"/>
    </row>
    <row r="70" spans="1:25" ht="21">
      <c r="E70" s="4"/>
      <c r="F70" s="5"/>
      <c r="G70" s="4"/>
      <c r="H70" s="10"/>
      <c r="I70" s="4"/>
      <c r="J70" s="4"/>
      <c r="K70" s="6"/>
      <c r="M70" s="2"/>
      <c r="N70" s="1"/>
      <c r="Q70" s="1"/>
      <c r="R70" s="1"/>
    </row>
    <row r="71" spans="1:25" ht="21">
      <c r="E71" s="4"/>
      <c r="F71" s="5"/>
      <c r="G71" s="4"/>
      <c r="H71" s="10"/>
      <c r="I71" s="4"/>
      <c r="J71" s="4"/>
      <c r="K71" s="6"/>
      <c r="M71" s="2"/>
      <c r="N71" s="1"/>
      <c r="Q71" s="1"/>
      <c r="R71" s="1"/>
    </row>
    <row r="72" spans="1:25" ht="21">
      <c r="E72" s="4"/>
      <c r="F72" s="5"/>
      <c r="G72" s="4"/>
      <c r="H72" s="9"/>
      <c r="I72" s="4"/>
      <c r="J72" s="4"/>
      <c r="K72" s="6"/>
      <c r="M72" s="2"/>
      <c r="N72" s="1"/>
      <c r="Q72" s="1"/>
      <c r="R72" s="1"/>
    </row>
    <row r="73" spans="1:25" ht="21">
      <c r="E73" s="4"/>
      <c r="F73" s="5"/>
      <c r="G73" s="4"/>
      <c r="H73" s="9"/>
      <c r="I73" s="4"/>
      <c r="J73" s="4"/>
      <c r="K73" s="6"/>
      <c r="M73" s="2"/>
      <c r="N73" s="2"/>
      <c r="Q73" s="1"/>
      <c r="R73" s="1"/>
    </row>
    <row r="74" spans="1:25" ht="21">
      <c r="E74" s="4"/>
      <c r="F74" s="5"/>
      <c r="G74" s="4"/>
      <c r="H74" s="10"/>
      <c r="I74" s="4"/>
      <c r="J74" s="4"/>
      <c r="K74" s="6"/>
      <c r="M74" s="2"/>
      <c r="N74" s="2"/>
      <c r="Q74" s="1"/>
      <c r="R74" s="1"/>
    </row>
    <row r="75" spans="1:25" ht="21">
      <c r="E75" s="4"/>
      <c r="F75" s="5"/>
      <c r="G75" s="4"/>
      <c r="H75" s="10"/>
      <c r="I75" s="4"/>
      <c r="J75" s="4"/>
      <c r="K75" s="6"/>
      <c r="M75" s="2"/>
      <c r="N75" s="1"/>
      <c r="Q75" s="1"/>
      <c r="R75" s="1"/>
    </row>
    <row r="76" spans="1:25" ht="21">
      <c r="E76" s="4"/>
      <c r="F76" s="5"/>
      <c r="G76" s="4"/>
      <c r="H76" s="10"/>
      <c r="I76" s="4"/>
      <c r="J76" s="4"/>
      <c r="K76" s="6"/>
      <c r="M76" s="2"/>
      <c r="N76" s="1"/>
      <c r="Q76" s="1"/>
      <c r="R76" s="1"/>
    </row>
    <row r="77" spans="1:25" ht="21">
      <c r="E77" s="4"/>
      <c r="F77" s="5"/>
      <c r="G77" s="4"/>
      <c r="H77" s="10"/>
      <c r="I77" s="4"/>
      <c r="J77" s="4"/>
      <c r="K77" s="6"/>
      <c r="M77" s="2"/>
      <c r="N77" s="1"/>
      <c r="Q77" s="1"/>
      <c r="R77" s="1"/>
    </row>
    <row r="78" spans="1:25" ht="21">
      <c r="E78" s="4"/>
      <c r="F78" s="5"/>
      <c r="G78" s="4"/>
      <c r="H78" s="9"/>
      <c r="I78" s="4"/>
      <c r="J78" s="4"/>
      <c r="K78" s="6"/>
      <c r="M78" s="2"/>
      <c r="N78" s="1"/>
      <c r="Q78" s="1"/>
      <c r="R78" s="1"/>
    </row>
    <row r="79" spans="1:25" ht="21">
      <c r="E79" s="4"/>
      <c r="F79" s="5"/>
      <c r="G79" s="4"/>
      <c r="H79" s="9"/>
      <c r="I79" s="4"/>
      <c r="J79" s="4"/>
      <c r="K79" s="6"/>
      <c r="M79" s="2"/>
      <c r="N79" s="2"/>
      <c r="Q79" s="1"/>
      <c r="R79" s="1"/>
    </row>
    <row r="80" spans="1:25" ht="21">
      <c r="E80" s="4"/>
      <c r="F80" s="5"/>
      <c r="G80" s="4"/>
      <c r="H80" s="9"/>
      <c r="I80" s="4"/>
      <c r="J80" s="4"/>
      <c r="K80" s="6"/>
      <c r="M80" s="2"/>
      <c r="N80" s="2"/>
      <c r="Q80" s="1"/>
      <c r="R80" s="1"/>
    </row>
    <row r="81" spans="5:18" ht="21">
      <c r="E81" s="4"/>
      <c r="F81" s="5"/>
      <c r="G81" s="4"/>
      <c r="H81" s="10"/>
      <c r="I81" s="4"/>
      <c r="J81" s="4"/>
      <c r="K81" s="6"/>
      <c r="M81" s="2"/>
      <c r="N81" s="2"/>
      <c r="Q81" s="1"/>
      <c r="R81" s="1"/>
    </row>
    <row r="82" spans="5:18" ht="21">
      <c r="E82" s="4"/>
      <c r="F82" s="5"/>
      <c r="G82" s="4"/>
      <c r="H82" s="9"/>
      <c r="I82" s="4"/>
      <c r="J82" s="4"/>
      <c r="K82" s="6"/>
      <c r="M82" s="2"/>
      <c r="N82" s="1"/>
      <c r="Q82" s="1"/>
      <c r="R82" s="1"/>
    </row>
    <row r="83" spans="5:18" ht="21">
      <c r="E83" s="4"/>
      <c r="F83" s="5"/>
      <c r="G83" s="4"/>
      <c r="H83" s="9"/>
      <c r="I83" s="4"/>
      <c r="J83" s="4"/>
      <c r="K83" s="6"/>
      <c r="M83" s="2"/>
      <c r="N83" s="2"/>
      <c r="Q83" s="1"/>
      <c r="R83" s="1"/>
    </row>
    <row r="84" spans="5:18" ht="21">
      <c r="E84" s="4"/>
      <c r="F84" s="5"/>
      <c r="G84" s="4"/>
      <c r="H84" s="10"/>
      <c r="I84" s="4"/>
      <c r="J84" s="4"/>
      <c r="K84" s="6"/>
      <c r="M84" s="2"/>
      <c r="N84" s="2"/>
      <c r="Q84" s="1"/>
      <c r="R84" s="1"/>
    </row>
    <row r="85" spans="5:18" ht="21">
      <c r="E85" s="4"/>
      <c r="F85" s="5"/>
      <c r="G85" s="4"/>
      <c r="H85" s="9"/>
      <c r="I85" s="4"/>
      <c r="J85" s="4"/>
      <c r="K85" s="6"/>
      <c r="M85" s="2"/>
      <c r="N85" s="1"/>
      <c r="Q85" s="1"/>
      <c r="R85" s="1"/>
    </row>
    <row r="86" spans="5:18" ht="21">
      <c r="E86" s="4"/>
      <c r="F86" s="5"/>
      <c r="G86" s="4"/>
      <c r="H86" s="9"/>
      <c r="I86" s="4"/>
      <c r="J86" s="4"/>
      <c r="K86" s="6"/>
      <c r="M86" s="2"/>
      <c r="N86" s="2"/>
      <c r="Q86" s="1"/>
      <c r="R86" s="1"/>
    </row>
    <row r="87" spans="5:18" ht="21">
      <c r="E87" s="4"/>
      <c r="F87" s="5"/>
      <c r="G87" s="4"/>
      <c r="H87" s="10"/>
      <c r="I87" s="4"/>
      <c r="J87" s="4"/>
      <c r="K87" s="6"/>
      <c r="M87" s="2"/>
      <c r="N87" s="2"/>
      <c r="Q87" s="1"/>
      <c r="R87" s="1"/>
    </row>
    <row r="88" spans="5:18" ht="21">
      <c r="E88" s="4"/>
      <c r="F88" s="5"/>
      <c r="G88" s="4"/>
      <c r="H88" s="9"/>
      <c r="I88" s="4"/>
      <c r="J88" s="4"/>
      <c r="K88" s="6"/>
      <c r="M88" s="2"/>
      <c r="N88" s="1"/>
      <c r="Q88" s="1"/>
      <c r="R88" s="1"/>
    </row>
    <row r="89" spans="5:18" ht="21">
      <c r="E89" s="4"/>
      <c r="F89" s="5"/>
      <c r="G89" s="4"/>
      <c r="H89" s="10"/>
      <c r="I89" s="4"/>
      <c r="J89" s="4"/>
      <c r="K89" s="6"/>
      <c r="M89" s="2"/>
      <c r="N89" s="2"/>
      <c r="Q89" s="1"/>
      <c r="R89" s="1"/>
    </row>
    <row r="90" spans="5:18" ht="21">
      <c r="E90" s="4"/>
      <c r="F90" s="5"/>
      <c r="G90" s="4"/>
      <c r="H90" s="10"/>
      <c r="I90" s="4"/>
      <c r="J90" s="4"/>
      <c r="K90" s="6"/>
      <c r="M90" s="2"/>
      <c r="N90" s="1"/>
      <c r="Q90" s="1"/>
      <c r="R90" s="1"/>
    </row>
    <row r="91" spans="5:18" ht="21">
      <c r="E91" s="4"/>
      <c r="F91" s="5"/>
      <c r="G91" s="4"/>
      <c r="H91" s="10"/>
      <c r="I91" s="4"/>
      <c r="J91" s="4"/>
      <c r="K91" s="6"/>
      <c r="M91" s="2"/>
      <c r="N91" s="1"/>
      <c r="Q91" s="1"/>
      <c r="R91" s="1"/>
    </row>
    <row r="92" spans="5:18" ht="21">
      <c r="E92" s="4"/>
      <c r="F92" s="5"/>
      <c r="G92" s="4"/>
      <c r="H92" s="10"/>
      <c r="I92" s="4"/>
      <c r="J92" s="4"/>
      <c r="K92" s="6"/>
      <c r="M92" s="2"/>
      <c r="N92" s="1"/>
      <c r="Q92" s="1"/>
      <c r="R92" s="1"/>
    </row>
    <row r="93" spans="5:18" ht="21">
      <c r="E93" s="4"/>
      <c r="F93" s="5"/>
      <c r="G93" s="4"/>
      <c r="H93" s="9"/>
      <c r="I93" s="4"/>
      <c r="J93" s="4"/>
      <c r="K93" s="6"/>
      <c r="M93" s="2"/>
      <c r="N93" s="2"/>
      <c r="Q93" s="1"/>
      <c r="R93" s="1"/>
    </row>
    <row r="94" spans="5:18" ht="21">
      <c r="E94" s="4"/>
      <c r="F94" s="5"/>
      <c r="G94" s="4"/>
      <c r="H94" s="10"/>
      <c r="I94" s="4"/>
      <c r="J94" s="4"/>
      <c r="K94" s="6"/>
      <c r="M94" s="2"/>
      <c r="N94" s="2"/>
      <c r="Q94" s="1"/>
      <c r="R94" s="1"/>
    </row>
    <row r="95" spans="5:18" ht="21">
      <c r="E95" s="4"/>
      <c r="F95" s="5"/>
      <c r="G95" s="4"/>
      <c r="H95" s="10"/>
      <c r="I95" s="4"/>
      <c r="J95" s="4"/>
      <c r="K95" s="6"/>
      <c r="M95" s="2"/>
      <c r="N95" s="1"/>
      <c r="Q95" s="1"/>
      <c r="R95" s="1"/>
    </row>
    <row r="96" spans="5:18" ht="21">
      <c r="E96" s="4"/>
      <c r="F96" s="5"/>
      <c r="G96" s="4"/>
      <c r="H96" s="10"/>
      <c r="I96" s="4"/>
      <c r="J96" s="4"/>
      <c r="K96" s="6"/>
      <c r="M96" s="2"/>
      <c r="N96" s="1"/>
      <c r="Q96" s="1"/>
      <c r="R96" s="1"/>
    </row>
    <row r="97" spans="5:19" ht="21">
      <c r="E97" s="4"/>
      <c r="F97" s="5"/>
      <c r="G97" s="4"/>
      <c r="H97" s="10"/>
      <c r="I97" s="4"/>
      <c r="J97" s="4"/>
      <c r="K97" s="4"/>
      <c r="M97" s="2"/>
      <c r="N97" s="2"/>
      <c r="Q97" s="1"/>
      <c r="R97" s="1"/>
    </row>
    <row r="98" spans="5:19" ht="21">
      <c r="E98" s="4"/>
      <c r="F98" s="5"/>
      <c r="G98" s="4"/>
      <c r="H98" s="7"/>
      <c r="I98" s="4"/>
      <c r="J98" s="4"/>
      <c r="K98" s="6"/>
      <c r="M98" s="2"/>
      <c r="N98" s="1"/>
      <c r="Q98" s="1"/>
      <c r="R98" s="1"/>
    </row>
    <row r="99" spans="5:19" ht="21">
      <c r="E99" s="4"/>
      <c r="F99" s="5"/>
      <c r="G99" s="4"/>
      <c r="H99" s="8"/>
      <c r="I99" s="4"/>
      <c r="J99" s="4"/>
      <c r="K99" s="6"/>
      <c r="M99" s="2"/>
      <c r="N99" s="2"/>
      <c r="Q99" s="1"/>
      <c r="R99" s="1"/>
    </row>
    <row r="100" spans="5:19" ht="21">
      <c r="E100" s="4"/>
      <c r="F100" s="5"/>
      <c r="G100" s="4"/>
      <c r="H100" s="7"/>
      <c r="I100" s="4"/>
      <c r="J100" s="4"/>
      <c r="K100" s="6"/>
      <c r="M100" s="2"/>
      <c r="N100" s="2"/>
      <c r="Q100" s="1"/>
      <c r="R100" s="1"/>
    </row>
    <row r="101" spans="5:19" ht="21">
      <c r="E101" s="4"/>
      <c r="F101" s="5"/>
      <c r="G101" s="4"/>
      <c r="H101" s="4"/>
      <c r="I101" s="4"/>
      <c r="J101" s="4"/>
      <c r="K101" s="6"/>
      <c r="L101" s="1"/>
      <c r="O101" s="1"/>
      <c r="P101" s="1"/>
    </row>
    <row r="102" spans="5:19" ht="21">
      <c r="E102" s="4"/>
      <c r="F102" s="5"/>
      <c r="G102" s="4"/>
      <c r="H102" s="4"/>
      <c r="I102" s="4"/>
      <c r="J102" s="4"/>
      <c r="K102" s="6"/>
      <c r="L102" s="2"/>
      <c r="O102" s="1"/>
      <c r="P102" s="1"/>
    </row>
    <row r="103" spans="5:19" ht="21">
      <c r="E103" s="4"/>
      <c r="F103" s="5"/>
      <c r="G103" s="4"/>
      <c r="H103" s="4"/>
      <c r="I103" s="4"/>
      <c r="J103" s="4"/>
      <c r="K103" s="6"/>
      <c r="L103" s="2"/>
      <c r="O103" s="1"/>
      <c r="P103" s="1"/>
    </row>
    <row r="104" spans="5:19" ht="21">
      <c r="E104" s="4"/>
      <c r="F104" s="5"/>
      <c r="G104" s="4"/>
      <c r="H104" s="4"/>
      <c r="I104" s="4"/>
      <c r="J104" s="4"/>
      <c r="K104" s="6"/>
      <c r="L104" s="1"/>
      <c r="O104" s="1"/>
      <c r="P104" s="1"/>
    </row>
    <row r="105" spans="5:19" ht="21">
      <c r="E105" s="4"/>
      <c r="F105" s="5"/>
      <c r="G105" s="4"/>
      <c r="H105" s="4"/>
      <c r="I105" s="4"/>
      <c r="J105" s="4"/>
      <c r="K105" s="6"/>
      <c r="L105" s="1"/>
      <c r="O105" s="1"/>
      <c r="P105" s="1"/>
    </row>
    <row r="106" spans="5:19" ht="21">
      <c r="E106" s="4"/>
      <c r="F106" s="5"/>
      <c r="G106" s="4"/>
      <c r="H106" s="4"/>
      <c r="I106" s="4"/>
      <c r="J106" s="4"/>
      <c r="K106" s="6"/>
      <c r="L106" s="1"/>
      <c r="O106" s="1"/>
      <c r="P106" s="1"/>
    </row>
    <row r="107" spans="5:19" ht="21">
      <c r="E107" s="4"/>
      <c r="F107" s="5"/>
      <c r="G107" s="4"/>
      <c r="H107" s="4"/>
      <c r="I107" s="4"/>
      <c r="J107" s="4"/>
      <c r="K107" s="6"/>
      <c r="O107" s="1"/>
      <c r="P107" s="1"/>
    </row>
    <row r="108" spans="5:19" ht="21">
      <c r="E108" s="4"/>
      <c r="F108" s="5"/>
      <c r="G108" s="4"/>
      <c r="H108" s="4"/>
      <c r="I108" s="4"/>
      <c r="J108" s="4"/>
      <c r="K108" s="6"/>
      <c r="O108" s="1"/>
      <c r="P108" s="1"/>
    </row>
    <row r="109" spans="5:19" ht="21">
      <c r="E109" s="4"/>
      <c r="F109" s="5"/>
      <c r="G109" s="4"/>
      <c r="H109" s="4"/>
      <c r="I109" s="4"/>
      <c r="J109" s="4"/>
      <c r="K109" s="6"/>
      <c r="O109" s="1"/>
      <c r="P109" s="1"/>
    </row>
    <row r="110" spans="5:19" ht="21">
      <c r="E110" s="4"/>
      <c r="F110" s="5"/>
      <c r="G110" s="4"/>
      <c r="K110" s="4"/>
      <c r="L110" s="4"/>
      <c r="M110" s="4"/>
      <c r="R110" s="1"/>
      <c r="S110" s="1"/>
    </row>
    <row r="111" spans="5:19" ht="21">
      <c r="E111" s="4"/>
      <c r="F111" s="5"/>
      <c r="G111" s="4"/>
      <c r="K111" s="4"/>
      <c r="L111" s="4"/>
      <c r="M111" s="4"/>
      <c r="R111" s="1"/>
      <c r="S111" s="1"/>
    </row>
    <row r="112" spans="5:19" ht="21">
      <c r="E112" s="4"/>
      <c r="F112" s="5"/>
      <c r="G112" s="4"/>
      <c r="K112" s="4"/>
      <c r="L112" s="4"/>
      <c r="M112" s="4"/>
      <c r="R112" s="1"/>
      <c r="S112" s="1"/>
    </row>
    <row r="113" spans="5:19" ht="21">
      <c r="E113" s="4"/>
      <c r="F113" s="5"/>
      <c r="G113" s="4"/>
      <c r="K113" s="4"/>
      <c r="L113" s="4"/>
      <c r="M113" s="4"/>
      <c r="R113" s="1"/>
      <c r="S113" s="1"/>
    </row>
    <row r="114" spans="5:19" ht="21">
      <c r="E114" s="4"/>
      <c r="F114" s="5"/>
      <c r="G114" s="4"/>
      <c r="K114" s="4"/>
      <c r="L114" s="4"/>
      <c r="M114" s="4"/>
      <c r="R114" s="1"/>
      <c r="S114" s="1"/>
    </row>
    <row r="115" spans="5:19" ht="20">
      <c r="E115" s="3"/>
      <c r="F115" s="3"/>
      <c r="G115" s="3"/>
      <c r="K115" s="3"/>
      <c r="L115" s="3"/>
      <c r="M115" s="3"/>
      <c r="R115" s="1"/>
      <c r="S115" s="1"/>
    </row>
    <row r="116" spans="5:19" ht="20">
      <c r="E116" s="3"/>
      <c r="F116" s="3"/>
      <c r="G116" s="3"/>
      <c r="K116" s="3"/>
      <c r="L116" s="3"/>
      <c r="M116" s="3"/>
      <c r="R116" s="1"/>
      <c r="S116" s="1"/>
    </row>
    <row r="117" spans="5:19" ht="20">
      <c r="R117" s="1"/>
      <c r="S117" s="1"/>
    </row>
    <row r="118" spans="5:19" ht="20">
      <c r="R118" s="1"/>
      <c r="S118" s="1"/>
    </row>
    <row r="119" spans="5:19" ht="20">
      <c r="R119" s="1"/>
      <c r="S119" s="1"/>
    </row>
    <row r="120" spans="5:19" ht="20">
      <c r="R120" s="1"/>
      <c r="S120" s="1"/>
    </row>
    <row r="121" spans="5:19" ht="20">
      <c r="R121" s="1"/>
      <c r="S121" s="1"/>
    </row>
    <row r="122" spans="5:19" ht="20">
      <c r="R122" s="1"/>
      <c r="S122" s="1"/>
    </row>
  </sheetData>
  <phoneticPr fontId="1" type="noConversion"/>
  <pageMargins left="0.23622047244094491" right="0.23622047244094491" top="0.74803149606299213" bottom="0.74803149606299213" header="0.31496062992125984" footer="0.31496062992125984"/>
  <pageSetup paperSize="9" scale="75" fitToHeight="0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5392B-4B8A-4084-959A-5DEB49BA300F}">
  <dimension ref="B2:C69"/>
  <sheetViews>
    <sheetView topLeftCell="A19" workbookViewId="0">
      <selection activeCell="N8" sqref="N8"/>
    </sheetView>
  </sheetViews>
  <sheetFormatPr defaultRowHeight="15.5"/>
  <sheetData>
    <row r="2" spans="2:3" ht="16" thickBot="1"/>
    <row r="3" spans="2:3" ht="32" thickBot="1">
      <c r="B3" s="11" t="s">
        <v>24</v>
      </c>
      <c r="C3" s="11" t="s">
        <v>25</v>
      </c>
    </row>
    <row r="4" spans="2:3" ht="16" thickBot="1">
      <c r="B4" s="12">
        <v>1</v>
      </c>
      <c r="C4" s="12" t="s">
        <v>26</v>
      </c>
    </row>
    <row r="5" spans="2:3" ht="16" thickBot="1">
      <c r="B5" s="12">
        <v>2</v>
      </c>
      <c r="C5" s="12" t="s">
        <v>27</v>
      </c>
    </row>
    <row r="6" spans="2:3" ht="16" thickBot="1">
      <c r="B6" s="12">
        <v>3</v>
      </c>
      <c r="C6" s="12" t="s">
        <v>28</v>
      </c>
    </row>
    <row r="7" spans="2:3" ht="16" thickBot="1">
      <c r="B7" s="12">
        <v>4</v>
      </c>
      <c r="C7" s="12" t="s">
        <v>28</v>
      </c>
    </row>
    <row r="8" spans="2:3" ht="16" thickBot="1">
      <c r="B8" s="12">
        <v>5</v>
      </c>
      <c r="C8" s="12" t="s">
        <v>28</v>
      </c>
    </row>
    <row r="9" spans="2:3" ht="16" thickBot="1">
      <c r="B9" s="12">
        <v>6</v>
      </c>
      <c r="C9" s="12" t="s">
        <v>27</v>
      </c>
    </row>
    <row r="10" spans="2:3" ht="16" thickBot="1">
      <c r="B10" s="12">
        <v>7</v>
      </c>
      <c r="C10" s="12" t="s">
        <v>28</v>
      </c>
    </row>
    <row r="11" spans="2:3" ht="16" thickBot="1">
      <c r="B11" s="12">
        <v>8</v>
      </c>
      <c r="C11" s="12" t="s">
        <v>27</v>
      </c>
    </row>
    <row r="12" spans="2:3" ht="16" thickBot="1">
      <c r="B12" s="12">
        <v>9</v>
      </c>
      <c r="C12" s="12" t="s">
        <v>28</v>
      </c>
    </row>
    <row r="13" spans="2:3" ht="16" thickBot="1">
      <c r="B13" s="12">
        <v>10</v>
      </c>
      <c r="C13" s="12" t="s">
        <v>28</v>
      </c>
    </row>
    <row r="14" spans="2:3" ht="16" thickBot="1">
      <c r="B14" s="12">
        <v>11</v>
      </c>
      <c r="C14" s="12" t="s">
        <v>27</v>
      </c>
    </row>
    <row r="15" spans="2:3" ht="16" thickBot="1">
      <c r="B15" s="12">
        <v>12</v>
      </c>
      <c r="C15" s="12" t="s">
        <v>27</v>
      </c>
    </row>
    <row r="16" spans="2:3" ht="16" thickBot="1">
      <c r="B16" s="12">
        <v>13</v>
      </c>
      <c r="C16" s="12" t="s">
        <v>28</v>
      </c>
    </row>
    <row r="17" spans="2:3" ht="16" thickBot="1">
      <c r="B17" s="12">
        <v>14</v>
      </c>
      <c r="C17" s="12" t="s">
        <v>28</v>
      </c>
    </row>
    <row r="18" spans="2:3" ht="16" thickBot="1">
      <c r="B18" s="12">
        <v>15</v>
      </c>
      <c r="C18" s="12" t="s">
        <v>26</v>
      </c>
    </row>
    <row r="19" spans="2:3" ht="16" thickBot="1">
      <c r="B19" s="12">
        <v>16</v>
      </c>
      <c r="C19" s="12" t="s">
        <v>26</v>
      </c>
    </row>
    <row r="20" spans="2:3" ht="16" thickBot="1">
      <c r="B20" s="12">
        <v>17</v>
      </c>
      <c r="C20" s="12" t="s">
        <v>28</v>
      </c>
    </row>
    <row r="21" spans="2:3" ht="16" thickBot="1">
      <c r="B21" s="12">
        <v>18</v>
      </c>
      <c r="C21" s="12" t="s">
        <v>27</v>
      </c>
    </row>
    <row r="22" spans="2:3" ht="16" thickBot="1">
      <c r="B22" s="12">
        <v>19</v>
      </c>
      <c r="C22" s="12" t="s">
        <v>28</v>
      </c>
    </row>
    <row r="23" spans="2:3" ht="16" thickBot="1">
      <c r="B23" s="12">
        <v>20</v>
      </c>
      <c r="C23" s="12" t="s">
        <v>28</v>
      </c>
    </row>
    <row r="24" spans="2:3" ht="16" thickBot="1">
      <c r="B24" s="12">
        <v>21</v>
      </c>
      <c r="C24" s="12" t="s">
        <v>27</v>
      </c>
    </row>
    <row r="25" spans="2:3" ht="16" thickBot="1">
      <c r="B25" s="12">
        <v>22</v>
      </c>
      <c r="C25" s="12" t="s">
        <v>26</v>
      </c>
    </row>
    <row r="26" spans="2:3" ht="16" thickBot="1">
      <c r="B26" s="12">
        <v>23</v>
      </c>
      <c r="C26" s="12" t="s">
        <v>27</v>
      </c>
    </row>
    <row r="27" spans="2:3" ht="16" thickBot="1">
      <c r="B27" s="12">
        <v>24</v>
      </c>
      <c r="C27" s="12" t="s">
        <v>27</v>
      </c>
    </row>
    <row r="28" spans="2:3" ht="16" thickBot="1">
      <c r="B28" s="12">
        <v>25</v>
      </c>
      <c r="C28" s="12" t="s">
        <v>26</v>
      </c>
    </row>
    <row r="29" spans="2:3" ht="16" thickBot="1">
      <c r="B29" s="12">
        <v>26</v>
      </c>
      <c r="C29" s="12" t="s">
        <v>26</v>
      </c>
    </row>
    <row r="30" spans="2:3" ht="16" thickBot="1">
      <c r="B30" s="12">
        <v>27</v>
      </c>
      <c r="C30" s="12" t="s">
        <v>26</v>
      </c>
    </row>
    <row r="31" spans="2:3" ht="16" thickBot="1">
      <c r="B31" s="12">
        <v>28</v>
      </c>
      <c r="C31" s="12" t="s">
        <v>27</v>
      </c>
    </row>
    <row r="32" spans="2:3" ht="16" thickBot="1">
      <c r="B32" s="12">
        <v>29</v>
      </c>
      <c r="C32" s="12" t="s">
        <v>28</v>
      </c>
    </row>
    <row r="33" spans="2:3" ht="16" thickBot="1">
      <c r="B33" s="12">
        <v>30</v>
      </c>
      <c r="C33" s="12" t="s">
        <v>26</v>
      </c>
    </row>
    <row r="34" spans="2:3" ht="16" thickBot="1">
      <c r="B34" s="12">
        <v>31</v>
      </c>
      <c r="C34" s="12" t="s">
        <v>28</v>
      </c>
    </row>
    <row r="35" spans="2:3" ht="16" thickBot="1">
      <c r="B35" s="12">
        <v>32</v>
      </c>
      <c r="C35" s="12" t="s">
        <v>28</v>
      </c>
    </row>
    <row r="36" spans="2:3" ht="16" thickBot="1">
      <c r="B36" s="12">
        <v>33</v>
      </c>
      <c r="C36" s="12" t="s">
        <v>26</v>
      </c>
    </row>
    <row r="37" spans="2:3" ht="16" thickBot="1">
      <c r="B37" s="12">
        <v>34</v>
      </c>
      <c r="C37" s="12" t="s">
        <v>28</v>
      </c>
    </row>
    <row r="38" spans="2:3" ht="16" thickBot="1">
      <c r="B38" s="12">
        <v>35</v>
      </c>
      <c r="C38" s="12" t="s">
        <v>28</v>
      </c>
    </row>
    <row r="39" spans="2:3" ht="16" thickBot="1">
      <c r="B39" s="12">
        <v>36</v>
      </c>
      <c r="C39" s="12" t="s">
        <v>28</v>
      </c>
    </row>
    <row r="40" spans="2:3" ht="16" thickBot="1">
      <c r="B40" s="12">
        <v>37</v>
      </c>
      <c r="C40" s="12" t="s">
        <v>28</v>
      </c>
    </row>
    <row r="41" spans="2:3" ht="16" thickBot="1">
      <c r="B41" s="12">
        <v>38</v>
      </c>
      <c r="C41" s="12" t="s">
        <v>27</v>
      </c>
    </row>
    <row r="42" spans="2:3" ht="16" thickBot="1">
      <c r="B42" s="12">
        <v>39</v>
      </c>
      <c r="C42" s="12" t="s">
        <v>27</v>
      </c>
    </row>
    <row r="43" spans="2:3" ht="16" thickBot="1">
      <c r="B43" s="12">
        <v>40</v>
      </c>
      <c r="C43" s="12" t="s">
        <v>26</v>
      </c>
    </row>
    <row r="44" spans="2:3" ht="16" thickBot="1">
      <c r="B44" s="12">
        <v>41</v>
      </c>
      <c r="C44" s="12" t="s">
        <v>26</v>
      </c>
    </row>
    <row r="45" spans="2:3" ht="16" thickBot="1">
      <c r="B45" s="12">
        <v>42</v>
      </c>
      <c r="C45" s="12" t="s">
        <v>28</v>
      </c>
    </row>
    <row r="46" spans="2:3" ht="16" thickBot="1">
      <c r="B46" s="12">
        <v>43</v>
      </c>
      <c r="C46" s="12" t="s">
        <v>28</v>
      </c>
    </row>
    <row r="47" spans="2:3" ht="16" thickBot="1">
      <c r="B47" s="12">
        <v>44</v>
      </c>
      <c r="C47" s="12" t="s">
        <v>28</v>
      </c>
    </row>
    <row r="48" spans="2:3" ht="16" thickBot="1">
      <c r="B48" s="12">
        <v>45</v>
      </c>
      <c r="C48" s="12" t="s">
        <v>28</v>
      </c>
    </row>
    <row r="49" spans="2:3" ht="16" thickBot="1">
      <c r="B49" s="12">
        <v>46</v>
      </c>
      <c r="C49" s="12" t="s">
        <v>26</v>
      </c>
    </row>
    <row r="50" spans="2:3" ht="16" thickBot="1">
      <c r="B50" s="12">
        <v>47</v>
      </c>
      <c r="C50" s="12" t="s">
        <v>26</v>
      </c>
    </row>
    <row r="51" spans="2:3" ht="16" thickBot="1">
      <c r="B51" s="12">
        <v>48</v>
      </c>
      <c r="C51" s="12" t="s">
        <v>28</v>
      </c>
    </row>
    <row r="52" spans="2:3" ht="16" thickBot="1">
      <c r="B52" s="12">
        <v>49</v>
      </c>
      <c r="C52" s="12" t="s">
        <v>27</v>
      </c>
    </row>
    <row r="53" spans="2:3" ht="16" thickBot="1">
      <c r="B53" s="12">
        <v>50</v>
      </c>
      <c r="C53" s="12" t="s">
        <v>28</v>
      </c>
    </row>
    <row r="54" spans="2:3" ht="16" thickBot="1">
      <c r="B54" s="12">
        <v>51</v>
      </c>
      <c r="C54" s="12" t="s">
        <v>28</v>
      </c>
    </row>
    <row r="55" spans="2:3" ht="16" thickBot="1">
      <c r="B55" s="12">
        <v>52</v>
      </c>
      <c r="C55" s="12" t="s">
        <v>28</v>
      </c>
    </row>
    <row r="56" spans="2:3" ht="16" thickBot="1">
      <c r="B56" s="12">
        <v>53</v>
      </c>
      <c r="C56" s="12" t="s">
        <v>26</v>
      </c>
    </row>
    <row r="57" spans="2:3" ht="16" thickBot="1">
      <c r="B57" s="12">
        <v>54</v>
      </c>
      <c r="C57" s="12" t="s">
        <v>28</v>
      </c>
    </row>
    <row r="58" spans="2:3" ht="16" thickBot="1">
      <c r="B58" s="12">
        <v>55</v>
      </c>
      <c r="C58" s="12" t="s">
        <v>26</v>
      </c>
    </row>
    <row r="59" spans="2:3" ht="16" thickBot="1">
      <c r="B59" s="12">
        <v>56</v>
      </c>
      <c r="C59" s="12" t="s">
        <v>28</v>
      </c>
    </row>
    <row r="60" spans="2:3" ht="16" thickBot="1">
      <c r="B60" s="12">
        <v>57</v>
      </c>
      <c r="C60" s="12" t="s">
        <v>26</v>
      </c>
    </row>
    <row r="61" spans="2:3" ht="16" thickBot="1">
      <c r="B61" s="12">
        <v>58</v>
      </c>
      <c r="C61" s="12" t="s">
        <v>28</v>
      </c>
    </row>
    <row r="62" spans="2:3" ht="16" thickBot="1">
      <c r="B62" s="12">
        <v>59</v>
      </c>
      <c r="C62" s="12" t="s">
        <v>28</v>
      </c>
    </row>
    <row r="63" spans="2:3" ht="16" thickBot="1">
      <c r="B63" s="12">
        <v>60</v>
      </c>
      <c r="C63" s="12" t="s">
        <v>28</v>
      </c>
    </row>
    <row r="64" spans="2:3" ht="16" thickBot="1">
      <c r="B64" s="12">
        <v>61</v>
      </c>
      <c r="C64" s="12" t="s">
        <v>28</v>
      </c>
    </row>
    <row r="65" spans="2:3" ht="16" thickBot="1">
      <c r="B65" s="12">
        <v>62</v>
      </c>
      <c r="C65" s="12" t="s">
        <v>28</v>
      </c>
    </row>
    <row r="66" spans="2:3" ht="16" thickBot="1">
      <c r="B66" s="12">
        <v>63</v>
      </c>
      <c r="C66" s="12" t="s">
        <v>28</v>
      </c>
    </row>
    <row r="67" spans="2:3" ht="16" thickBot="1">
      <c r="B67" s="12">
        <v>64</v>
      </c>
      <c r="C67" s="12" t="s">
        <v>27</v>
      </c>
    </row>
    <row r="68" spans="2:3" ht="16" thickBot="1">
      <c r="B68" s="12">
        <v>65</v>
      </c>
      <c r="C68" s="12" t="s">
        <v>28</v>
      </c>
    </row>
    <row r="69" spans="2:3" ht="16" thickBot="1">
      <c r="B69" s="12">
        <v>66</v>
      </c>
      <c r="C69" s="12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Ewan Gerken</dc:creator>
  <cp:keywords/>
  <dc:description/>
  <cp:lastModifiedBy>Ewan Gerken</cp:lastModifiedBy>
  <cp:revision/>
  <cp:lastPrinted>2023-08-25T00:44:22Z</cp:lastPrinted>
  <dcterms:created xsi:type="dcterms:W3CDTF">2021-07-07T06:17:02Z</dcterms:created>
  <dcterms:modified xsi:type="dcterms:W3CDTF">2026-02-13T06:49:32Z</dcterms:modified>
  <cp:category/>
  <cp:contentStatus/>
</cp:coreProperties>
</file>